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1395" windowWidth="27495" windowHeight="18585" tabRatio="851" firstSheet="0" activeTab="5" autoFilterDateGrouping="1"/>
  </bookViews>
  <sheets>
    <sheet xmlns:r="http://schemas.openxmlformats.org/officeDocument/2006/relationships" name="月間集計" sheetId="1" state="visible" r:id="rId1"/>
    <sheet xmlns:r="http://schemas.openxmlformats.org/officeDocument/2006/relationships" name="CH富士吉田 寝台車 29" sheetId="2" state="visible" r:id="rId2"/>
    <sheet xmlns:r="http://schemas.openxmlformats.org/officeDocument/2006/relationships" name="CH富士吉田 寝台車 30" sheetId="3" state="visible" r:id="rId3"/>
    <sheet xmlns:r="http://schemas.openxmlformats.org/officeDocument/2006/relationships" name="CH富士吉田 霊柩車 40" sheetId="4" state="visible" r:id="rId4"/>
    <sheet xmlns:r="http://schemas.openxmlformats.org/officeDocument/2006/relationships" name="CH富士吉田 霊柩車 223" sheetId="5" state="visible" r:id="rId5"/>
    <sheet xmlns:r="http://schemas.openxmlformats.org/officeDocument/2006/relationships" name="CH大月 寝台車 1603" sheetId="6" state="visible" r:id="rId6"/>
    <sheet xmlns:r="http://schemas.openxmlformats.org/officeDocument/2006/relationships" name="CH大月 霊柩車 2577" sheetId="7" state="visible" r:id="rId7"/>
    <sheet xmlns:r="http://schemas.openxmlformats.org/officeDocument/2006/relationships" name="CH東富士 霊柩車 1381" sheetId="8" state="visible" r:id="rId8"/>
    <sheet xmlns:r="http://schemas.openxmlformats.org/officeDocument/2006/relationships" name="CH東富士 寝台車 1508" sheetId="9" state="visible" r:id="rId9"/>
    <sheet xmlns:r="http://schemas.openxmlformats.org/officeDocument/2006/relationships" name="東日本セレモニー 1961" sheetId="10" state="visible" r:id="rId10"/>
    <sheet xmlns:r="http://schemas.openxmlformats.org/officeDocument/2006/relationships" name="東日本セレモニー 2259" sheetId="11" state="visible" r:id="rId11"/>
    <sheet xmlns:r="http://schemas.openxmlformats.org/officeDocument/2006/relationships" name="東日本セレモニー 2262" sheetId="12" state="visible" r:id="rId12"/>
    <sheet xmlns:r="http://schemas.openxmlformats.org/officeDocument/2006/relationships" name="東日本セレモニー 2380" sheetId="13" state="visible" r:id="rId13"/>
    <sheet xmlns:r="http://schemas.openxmlformats.org/officeDocument/2006/relationships" name="Template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¥&quot;#,##0_);[Red]\(&quot;¥&quot;#,##0\)"/>
    <numFmt numFmtId="165" formatCode="0.0%"/>
  </numFmts>
  <fonts count="4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4"/>
    </font>
    <font>
      <name val="ＭＳ Ｐゴシック"/>
      <charset val="128"/>
      <family val="3"/>
      <b val="1"/>
      <sz val="14"/>
    </font>
  </fonts>
  <fills count="3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38" fontId="1" fillId="0" borderId="0" applyAlignment="1">
      <alignment vertical="center"/>
    </xf>
    <xf numFmtId="164" fontId="1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Continuous" vertical="center"/>
    </xf>
    <xf numFmtId="0" fontId="2" fillId="2" borderId="5" applyAlignment="1" pivotButton="0" quotePrefix="0" xfId="0">
      <alignment horizontal="centerContinuous" vertical="center"/>
    </xf>
    <xf numFmtId="0" fontId="2" fillId="2" borderId="6" applyAlignment="1" pivotButton="0" quotePrefix="0" xfId="0">
      <alignment horizontal="centerContinuous" vertical="center"/>
    </xf>
    <xf numFmtId="164" fontId="2" fillId="0" borderId="0" applyAlignment="1" pivotButton="0" quotePrefix="0" xfId="3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164" fontId="2" fillId="0" borderId="4" applyAlignment="1" pivotButton="0" quotePrefix="0" xfId="3">
      <alignment horizontal="center" vertical="center"/>
    </xf>
    <xf numFmtId="0" fontId="2" fillId="0" borderId="7" applyAlignment="1" pivotButton="0" quotePrefix="0" xfId="0">
      <alignment vertical="center"/>
    </xf>
    <xf numFmtId="165" fontId="2" fillId="0" borderId="7" applyAlignment="1" pivotButton="0" quotePrefix="0" xfId="1">
      <alignment vertical="center"/>
    </xf>
    <xf numFmtId="38" fontId="2" fillId="0" borderId="7" applyAlignment="1" pivotButton="0" quotePrefix="0" xfId="0">
      <alignment vertical="center"/>
    </xf>
    <xf numFmtId="164" fontId="2" fillId="0" borderId="4" applyAlignment="1" pivotButton="0" quotePrefix="0" xfId="3">
      <alignment vertical="center"/>
    </xf>
    <xf numFmtId="0" fontId="2" fillId="0" borderId="8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165" fontId="2" fillId="0" borderId="8" applyAlignment="1" pivotButton="0" quotePrefix="0" xfId="1">
      <alignment vertical="center"/>
    </xf>
    <xf numFmtId="38" fontId="2" fillId="0" borderId="8" applyAlignment="1" pivotButton="0" quotePrefix="0" xfId="0">
      <alignment vertical="center"/>
    </xf>
    <xf numFmtId="164" fontId="2" fillId="0" borderId="9" applyAlignment="1" pivotButton="0" quotePrefix="0" xfId="3">
      <alignment vertical="center"/>
    </xf>
    <xf numFmtId="0" fontId="3" fillId="0" borderId="10" applyAlignment="1" pivotButton="0" quotePrefix="0" xfId="0">
      <alignment horizontal="centerContinuous" vertical="center"/>
    </xf>
    <xf numFmtId="0" fontId="3" fillId="0" borderId="11" applyAlignment="1" pivotButton="0" quotePrefix="0" xfId="0">
      <alignment horizontal="centerContinuous" vertical="center"/>
    </xf>
    <xf numFmtId="0" fontId="3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38" fontId="2" fillId="0" borderId="11" applyAlignment="1" pivotButton="0" quotePrefix="0" xfId="2">
      <alignment vertical="center"/>
    </xf>
    <xf numFmtId="164" fontId="2" fillId="0" borderId="12" applyAlignment="1" pivotButton="0" quotePrefix="0" xfId="3">
      <alignment vertical="center"/>
    </xf>
    <xf numFmtId="0" fontId="2" fillId="0" borderId="13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shrinkToFit="1"/>
    </xf>
    <xf numFmtId="164" fontId="2" fillId="0" borderId="14" applyAlignment="1" pivotButton="0" quotePrefix="0" xfId="3">
      <alignment horizontal="center" vertical="center"/>
    </xf>
    <xf numFmtId="9" fontId="2" fillId="0" borderId="7" applyAlignment="1" pivotButton="0" quotePrefix="0" xfId="1">
      <alignment vertical="center"/>
    </xf>
    <xf numFmtId="1" fontId="2" fillId="0" borderId="7" applyAlignment="1" pivotButton="0" quotePrefix="0" xfId="0">
      <alignment vertical="center"/>
    </xf>
    <xf numFmtId="0" fontId="2" fillId="0" borderId="15" applyAlignment="1" pivotButton="0" quotePrefix="0" xfId="0">
      <alignment horizontal="center" vertical="center"/>
    </xf>
    <xf numFmtId="38" fontId="2" fillId="0" borderId="11" applyAlignment="1" pivotButton="0" quotePrefix="0" xfId="0">
      <alignment vertical="center"/>
    </xf>
    <xf numFmtId="9" fontId="2" fillId="0" borderId="17" applyAlignment="1" pivotButton="0" quotePrefix="0" xfId="1">
      <alignment vertical="center"/>
    </xf>
    <xf numFmtId="9" fontId="2" fillId="0" borderId="16" applyAlignment="1" pivotButton="0" quotePrefix="0" xfId="1">
      <alignment vertical="center"/>
    </xf>
    <xf numFmtId="0" fontId="2" fillId="0" borderId="11" applyAlignment="1" pivotButton="0" quotePrefix="0" xfId="2">
      <alignment vertical="center"/>
    </xf>
    <xf numFmtId="164" fontId="2" fillId="0" borderId="0" applyAlignment="1" pivotButton="0" quotePrefix="0" xfId="3">
      <alignment vertical="center"/>
    </xf>
    <xf numFmtId="0" fontId="0" fillId="0" borderId="0" pivotButton="0" quotePrefix="0" xfId="0"/>
    <xf numFmtId="164" fontId="2" fillId="0" borderId="14" applyAlignment="1" pivotButton="0" quotePrefix="0" xfId="3">
      <alignment horizontal="center" vertical="center"/>
    </xf>
    <xf numFmtId="164" fontId="2" fillId="0" borderId="4" applyAlignment="1" pivotButton="0" quotePrefix="0" xfId="3">
      <alignment vertical="center"/>
    </xf>
    <xf numFmtId="164" fontId="2" fillId="0" borderId="12" applyAlignment="1" pivotButton="0" quotePrefix="0" xfId="3">
      <alignment vertical="center"/>
    </xf>
    <xf numFmtId="164" fontId="2" fillId="0" borderId="4" applyAlignment="1" pivotButton="0" quotePrefix="0" xfId="3">
      <alignment horizontal="center" vertical="center"/>
    </xf>
    <xf numFmtId="165" fontId="2" fillId="0" borderId="7" applyAlignment="1" pivotButton="0" quotePrefix="0" xfId="1">
      <alignment vertical="center"/>
    </xf>
    <xf numFmtId="165" fontId="2" fillId="0" borderId="8" applyAlignment="1" pivotButton="0" quotePrefix="0" xfId="1">
      <alignment vertical="center"/>
    </xf>
    <xf numFmtId="164" fontId="2" fillId="0" borderId="9" applyAlignment="1" pivotButton="0" quotePrefix="0" xfId="3">
      <alignment vertical="center"/>
    </xf>
    <xf numFmtId="165" fontId="2" fillId="0" borderId="11" applyAlignment="1" pivotButton="0" quotePrefix="0" xfId="0">
      <alignment vertical="center"/>
    </xf>
  </cellXfs>
  <cellStyles count="4">
    <cellStyle name="標準" xfId="0" builtinId="0"/>
    <cellStyle name="パーセント" xfId="1" builtinId="5"/>
    <cellStyle name="桁区切り" xfId="2" builtinId="6"/>
    <cellStyle name="通貨" xfId="3" builtinId="7"/>
  </cellStyles>
  <dxfs count="210"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medium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6" formatCode="&quot;¥&quot;#,##0_);[Red]\(&quot;¥&quot;#,##0\)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7" formatCode="0.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rgb="FF000000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178" formatCode="#,##0_);[Red]\(#,##0\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</dxf>
    <dxf>
      <border outline="0">
        <bottom style="thin">
          <color indexed="64"/>
        </bottom>
      </border>
    </dxf>
    <dxf>
      <font>
        <name val="ＭＳ Ｐゴシック"/>
        <charset val="128"/>
        <family val="3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月間集計" displayName="月間集計" ref="A3:K16" headerRowCount="1" totalsRowShown="0" headerRowDxfId="209" dataDxfId="207" headerRowBorderDxfId="208" tableBorderDxfId="206">
  <autoFilter ref="A3:K1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205"/>
    <tableColumn id="2" name="支社名" dataDxfId="204"/>
    <tableColumn id="3" name="車輌番号" dataDxfId="203"/>
    <tableColumn id="4" name="延実在_x000a_車輌数" dataDxfId="202"/>
    <tableColumn id="5" name="延実働_x000a_車輌数" dataDxfId="201"/>
    <tableColumn id="6" name="稼働率" dataDxfId="200" dataCellStyle="パーセント">
      <calculatedColumnFormula>IFERROR(E4/D4,0)</calculatedColumnFormula>
    </tableColumn>
    <tableColumn id="7" name="搬送回数" dataDxfId="199"/>
    <tableColumn id="8" name="有料キロ数" dataDxfId="198"/>
    <tableColumn id="9" name="無料キロ数" dataDxfId="197"/>
    <tableColumn id="10" name="総走行ｋｍ" dataDxfId="196"/>
    <tableColumn id="11" name="運輸実績" dataDxfId="195" dataCellStyle="通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寝台車_29" displayName="寝台車_29" ref="A3:K6" headerRowCount="1" totalsRowShown="0" headerRowDxfId="164" dataDxfId="162" headerRowBorderDxfId="163" tableBorderDxfId="161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160"/>
    <tableColumn id="2" name="支社名" dataDxfId="159"/>
    <tableColumn id="3" name="車輌番号" dataDxfId="158"/>
    <tableColumn id="4" name="延実在_x000a_車輌数" dataDxfId="157"/>
    <tableColumn id="5" name="延実働_x000a_車輌数" dataDxfId="156"/>
    <tableColumn id="6" name="稼働率" dataDxfId="155" dataCellStyle="パーセント"/>
    <tableColumn id="7" name="搬送回数" dataDxfId="154"/>
    <tableColumn id="8" name="有料キロ数" dataDxfId="153"/>
    <tableColumn id="9" name="無料キロ数" dataDxfId="152"/>
    <tableColumn id="10" name="総走行ｋｍ" dataDxfId="151"/>
    <tableColumn id="11" name="運輸実績" dataDxfId="1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寝台車_30" displayName="寝台車_30" ref="A3:K6" headerRowCount="1" totalsRowShown="0" headerRowDxfId="149" dataDxfId="147" headerRowBorderDxfId="148" tableBorderDxfId="146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145"/>
    <tableColumn id="2" name="支社名" dataDxfId="144"/>
    <tableColumn id="3" name="車輌番号" dataDxfId="143"/>
    <tableColumn id="4" name="延実在_x000a_車輌数" dataDxfId="142"/>
    <tableColumn id="5" name="延実働_x000a_車輌数" dataDxfId="141"/>
    <tableColumn id="6" name="稼働率" dataDxfId="140" dataCellStyle="パーセント"/>
    <tableColumn id="7" name="搬送回数" dataDxfId="139"/>
    <tableColumn id="8" name="有料キロ数" dataDxfId="138"/>
    <tableColumn id="9" name="無料キロ数" dataDxfId="137"/>
    <tableColumn id="10" name="総走行ｋｍ" dataDxfId="136"/>
    <tableColumn id="11" name="運輸実績" dataDxfId="1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霊柩車_40" displayName="霊柩車_40" ref="A3:K6" headerRowCount="1" totalsRowShown="0" headerRowDxfId="134" dataDxfId="132" headerRowBorderDxfId="133" tableBorderDxfId="131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130"/>
    <tableColumn id="2" name="支社名" dataDxfId="129"/>
    <tableColumn id="3" name="車輌番号" dataDxfId="128"/>
    <tableColumn id="4" name="延実在_x000a_車輌数" dataDxfId="127"/>
    <tableColumn id="5" name="延実働_x000a_車輌数" dataDxfId="126"/>
    <tableColumn id="6" name="稼働率" dataDxfId="125" dataCellStyle="パーセント"/>
    <tableColumn id="7" name="搬送回数" dataDxfId="124"/>
    <tableColumn id="8" name="有料キロ数" dataDxfId="123"/>
    <tableColumn id="9" name="無料キロ数" dataDxfId="122"/>
    <tableColumn id="10" name="総走行ｋｍ" dataDxfId="121"/>
    <tableColumn id="11" name="運輸実績" dataDxfId="1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霊柩車_223" displayName="霊柩車_223" ref="A3:K6" headerRowCount="1" totalsRowShown="0" headerRowDxfId="119" dataDxfId="117" headerRowBorderDxfId="118" tableBorderDxfId="116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115"/>
    <tableColumn id="2" name="支社名" dataDxfId="114"/>
    <tableColumn id="3" name="車輌番号" dataDxfId="113"/>
    <tableColumn id="4" name="延実在_x000a_車輌数" dataDxfId="112"/>
    <tableColumn id="5" name="延実働_x000a_車輌数" dataDxfId="111"/>
    <tableColumn id="6" name="稼働率" dataDxfId="110" dataCellStyle="パーセント"/>
    <tableColumn id="7" name="搬送回数" dataDxfId="109"/>
    <tableColumn id="8" name="有料キロ数" dataDxfId="108"/>
    <tableColumn id="9" name="無料キロ数" dataDxfId="107"/>
    <tableColumn id="10" name="総走行ｋｍ" dataDxfId="106"/>
    <tableColumn id="11" name="運輸実績" dataDxfId="10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大月_寝台車_1603" displayName="大月_寝台車_1603" ref="A3:K6" headerRowCount="1" totalsRowShown="0" headerRowDxfId="194" dataDxfId="192" headerRowBorderDxfId="193" tableBorderDxfId="191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190"/>
    <tableColumn id="2" name="支社名" dataDxfId="189"/>
    <tableColumn id="3" name="車輌番号" dataDxfId="188"/>
    <tableColumn id="4" name="延実在_x000a_車輌数" dataDxfId="187"/>
    <tableColumn id="5" name="延実働_x000a_車輌数" dataDxfId="186"/>
    <tableColumn id="6" name="稼働率" dataDxfId="185" dataCellStyle="パーセント"/>
    <tableColumn id="7" name="搬送回数" dataDxfId="184"/>
    <tableColumn id="8" name="有料キロ数" dataDxfId="183"/>
    <tableColumn id="9" name="無料キロ数" dataDxfId="182"/>
    <tableColumn id="10" name="総走行ｋｍ" dataDxfId="181"/>
    <tableColumn id="11" name="運輸実績" dataDxfId="18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大月_寝台車_160316" displayName="大月_寝台車_160316" ref="A3:K6" headerRowCount="1" totalsRowShown="0" headerRowDxfId="179" dataDxfId="177" headerRowBorderDxfId="178" tableBorderDxfId="176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175"/>
    <tableColumn id="2" name="支社名" dataDxfId="174"/>
    <tableColumn id="3" name="車輌番号" dataDxfId="173"/>
    <tableColumn id="4" name="延実在_x000a_車輌数" dataDxfId="172"/>
    <tableColumn id="5" name="延実働_x000a_車輌数" dataDxfId="171"/>
    <tableColumn id="6" name="稼働率" dataDxfId="170" dataCellStyle="パーセント"/>
    <tableColumn id="7" name="搬送回数" dataDxfId="169"/>
    <tableColumn id="8" name="有料キロ数" dataDxfId="168"/>
    <tableColumn id="9" name="無料キロ数" dataDxfId="167"/>
    <tableColumn id="10" name="総走行ｋｍ" dataDxfId="166"/>
    <tableColumn id="11" name="運輸実績" dataDxfId="1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H東富士_霊柩_1381" displayName="CH東富士_霊柩_1381" ref="A3:K6" headerRowCount="1" totalsRowShown="0" headerRowDxfId="104" dataDxfId="102" headerRowBorderDxfId="103" tableBorderDxfId="101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100"/>
    <tableColumn id="2" name="支社名" dataDxfId="99"/>
    <tableColumn id="3" name="車輌番号" dataDxfId="98"/>
    <tableColumn id="4" name="延実在_x000a_車輌数" dataDxfId="97"/>
    <tableColumn id="5" name="延実働_x000a_車輌数" dataDxfId="96"/>
    <tableColumn id="6" name="稼働率" dataDxfId="95" dataCellStyle="パーセント"/>
    <tableColumn id="7" name="搬送回数" dataDxfId="94"/>
    <tableColumn id="8" name="有料キロ数" dataDxfId="93"/>
    <tableColumn id="9" name="無料キロ数" dataDxfId="92"/>
    <tableColumn id="10" name="総走行ｋｍ" dataDxfId="91"/>
    <tableColumn id="11" name="運輸実績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H東富士_1105" displayName="CH東富士_1105" ref="A3:K6" headerRowCount="1" totalsRowShown="0" headerRowDxfId="89" dataDxfId="87" headerRowBorderDxfId="88" tableBorderDxfId="86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85"/>
    <tableColumn id="2" name="支社名" dataDxfId="84"/>
    <tableColumn id="3" name="車輌番号" dataDxfId="83"/>
    <tableColumn id="4" name="延実在_x000a_車輌数" dataDxfId="82"/>
    <tableColumn id="5" name="延実働_x000a_車輌数" dataDxfId="81"/>
    <tableColumn id="6" name="稼働率" dataDxfId="80" dataCellStyle="パーセント"/>
    <tableColumn id="7" name="搬送回数" dataDxfId="79"/>
    <tableColumn id="8" name="有料キロ数" dataDxfId="78"/>
    <tableColumn id="9" name="無料キロ数" dataDxfId="77"/>
    <tableColumn id="10" name="総走行ｋｍ" dataDxfId="76"/>
    <tableColumn id="11" name="運輸実績" dataDxfId="7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東日本セレモニー_1961" displayName="東日本セレモニー_1961" ref="A3:K6" headerRowCount="1" totalsRowShown="0" headerRowDxfId="74" dataDxfId="72" headerRowBorderDxfId="73" tableBorderDxfId="71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70"/>
    <tableColumn id="2" name="支社名" dataDxfId="69"/>
    <tableColumn id="3" name="車輌番号" dataDxfId="68"/>
    <tableColumn id="4" name="延実在_x000a_車輌数" dataDxfId="67"/>
    <tableColumn id="5" name="延実働_x000a_車輌数" dataDxfId="66"/>
    <tableColumn id="6" name="稼働率" dataDxfId="65" dataCellStyle="パーセント"/>
    <tableColumn id="7" name="搬送回数" dataDxfId="64"/>
    <tableColumn id="8" name="有料キロ数" dataDxfId="63"/>
    <tableColumn id="9" name="無料キロ数" dataDxfId="62"/>
    <tableColumn id="10" name="総走行ｋｍ" dataDxfId="61"/>
    <tableColumn id="11" name="運輸実績" dataDxfId="6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東日本セレモニー_2259" displayName="東日本セレモニー_2259" ref="A3:K6" headerRowCount="1" totalsRowShown="0" headerRowDxfId="59" dataDxfId="57" headerRowBorderDxfId="58" tableBorderDxfId="56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55"/>
    <tableColumn id="2" name="支社名" dataDxfId="54"/>
    <tableColumn id="3" name="車輌番号" dataDxfId="53"/>
    <tableColumn id="4" name="延実在_x000a_車輌数" dataDxfId="52"/>
    <tableColumn id="5" name="延実働_x000a_車輌数" dataDxfId="51"/>
    <tableColumn id="6" name="稼働率" dataDxfId="50" dataCellStyle="パーセント"/>
    <tableColumn id="7" name="搬送回数" dataDxfId="49"/>
    <tableColumn id="8" name="有料キロ数" dataDxfId="48"/>
    <tableColumn id="9" name="無料キロ数" dataDxfId="47"/>
    <tableColumn id="10" name="総走行ｋｍ" dataDxfId="46"/>
    <tableColumn id="11" name="運輸実績" dataDxfId="4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東日本セレモニー_2262" displayName="東日本セレモニー_2262" ref="A3:K6" headerRowCount="1" totalsRowShown="0" headerRowDxfId="44" dataDxfId="42" headerRowBorderDxfId="43" tableBorderDxfId="41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40"/>
    <tableColumn id="2" name="支社名" dataDxfId="39"/>
    <tableColumn id="3" name="車輌番号" dataDxfId="38"/>
    <tableColumn id="4" name="延実在_x000a_車輌数" dataDxfId="37"/>
    <tableColumn id="5" name="延実働_x000a_車輌数" dataDxfId="36"/>
    <tableColumn id="6" name="稼働率" dataDxfId="35" dataCellStyle="パーセント"/>
    <tableColumn id="7" name="搬送回数" dataDxfId="34"/>
    <tableColumn id="8" name="有料キロ数" dataDxfId="33"/>
    <tableColumn id="9" name="無料キロ数" dataDxfId="32"/>
    <tableColumn id="10" name="総走行ｋｍ" dataDxfId="31"/>
    <tableColumn id="11" name="運輸実績" dataDxfId="3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東日本セレモニー_2380" displayName="東日本セレモニー_2380" ref="A3:K6" headerRowCount="1" totalsRowShown="0" headerRowDxfId="29" dataDxfId="27" headerRowBorderDxfId="28" tableBorderDxfId="26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25"/>
    <tableColumn id="2" name="支社名" dataDxfId="24"/>
    <tableColumn id="3" name="車輌番号" dataDxfId="23"/>
    <tableColumn id="4" name="延実在_x000a_車輌数" dataDxfId="22"/>
    <tableColumn id="5" name="延実働_x000a_車輌数" dataDxfId="21"/>
    <tableColumn id="6" name="稼働率" dataDxfId="20" dataCellStyle="パーセント"/>
    <tableColumn id="7" name="搬送回数" dataDxfId="19"/>
    <tableColumn id="8" name="有料キロ数" dataDxfId="18"/>
    <tableColumn id="9" name="無料キロ数" dataDxfId="17"/>
    <tableColumn id="10" name="総走行ｋｍ" dataDxfId="16"/>
    <tableColumn id="11" name="運輸実績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emplate" displayName="Template" ref="A3:K6" headerRowCount="1" totalsRowShown="0" headerRowDxfId="14" dataDxfId="12" headerRowBorderDxfId="13" tableBorderDxfId="11">
  <autoFilter ref="A3:K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</autoFilter>
  <tableColumns count="11">
    <tableColumn id="1" name="台数" dataDxfId="10"/>
    <tableColumn id="2" name="支社名" dataDxfId="9"/>
    <tableColumn id="3" name="車輌番号" dataDxfId="8"/>
    <tableColumn id="4" name="延実在_x000a_車輌数" dataDxfId="7"/>
    <tableColumn id="5" name="延実働_x000a_車輌数" dataDxfId="6"/>
    <tableColumn id="6" name="稼働率" dataDxfId="5" dataCellStyle="パーセント"/>
    <tableColumn id="7" name="搬送回数" dataDxfId="4"/>
    <tableColumn id="8" name="有料キロ数" dataDxfId="3"/>
    <tableColumn id="9" name="無料キロ数" dataDxfId="2"/>
    <tableColumn id="10" name="総走行ｋｍ" dataDxfId="1"/>
    <tableColumn id="11" name="運輸実績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 codeName="Sheet131">
    <tabColor theme="7" tint="-0.249977111117893"/>
    <outlinePr summaryBelow="1" summaryRight="1"/>
    <pageSetUpPr/>
  </sheetPr>
  <dimension ref="A1:K16"/>
  <sheetViews>
    <sheetView workbookViewId="0">
      <selection activeCell="D1" sqref="D1"/>
    </sheetView>
  </sheetViews>
  <sheetFormatPr baseColWidth="8" defaultRowHeight="17.25"/>
  <cols>
    <col width="6.125" customWidth="1" style="4" min="1" max="1"/>
    <col width="20.375" bestFit="1" customWidth="1" style="4" min="2" max="2"/>
    <col width="12.75" customWidth="1" style="4" min="3" max="3"/>
    <col width="10.625" customWidth="1" style="4" min="4" max="4"/>
    <col width="12.5" customWidth="1" style="4" min="5" max="5"/>
    <col width="11" customWidth="1" style="4" min="6" max="6"/>
    <col width="13.25" customWidth="1" style="4" min="7" max="7"/>
    <col width="11.125" customWidth="1" style="4" min="8" max="8"/>
    <col width="12.5" customWidth="1" style="4" min="9" max="9"/>
    <col width="14.125" customWidth="1" style="4" min="10" max="10"/>
    <col width="16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29" t="inlineStr">
        <is>
          <t>台数</t>
        </is>
      </c>
      <c r="B3" s="29" t="inlineStr">
        <is>
          <t>支社名</t>
        </is>
      </c>
      <c r="C3" s="29" t="inlineStr">
        <is>
          <t>車輌番号</t>
        </is>
      </c>
      <c r="D3" s="30" t="inlineStr">
        <is>
          <t>延実在
車輌数</t>
        </is>
      </c>
      <c r="E3" s="30" t="inlineStr">
        <is>
          <t>延実働
車輌数</t>
        </is>
      </c>
      <c r="F3" s="29" t="inlineStr">
        <is>
          <t>稼働率</t>
        </is>
      </c>
      <c r="G3" s="29" t="inlineStr">
        <is>
          <t>搬送回数</t>
        </is>
      </c>
      <c r="H3" s="31" t="inlineStr">
        <is>
          <t>有料キロ数</t>
        </is>
      </c>
      <c r="I3" s="31" t="inlineStr">
        <is>
          <t>無料キロ数</t>
        </is>
      </c>
      <c r="J3" s="29" t="inlineStr">
        <is>
          <t>総走行ｋｍ</t>
        </is>
      </c>
      <c r="K3" s="42" t="inlineStr">
        <is>
          <t>運輸実績</t>
        </is>
      </c>
    </row>
    <row r="4">
      <c r="A4" s="13" t="inlineStr">
        <is>
          <t>№1</t>
        </is>
      </c>
      <c r="B4" s="10" t="inlineStr">
        <is>
          <t>ＣＨ富士吉田</t>
        </is>
      </c>
      <c r="C4" s="10" t="n">
        <v>29</v>
      </c>
      <c r="D4" s="13">
        <f>'CH富士吉田 寝台車 29'!D6</f>
        <v/>
      </c>
      <c r="E4" s="13">
        <f>'CH富士吉田 寝台車 29'!$E$6</f>
        <v/>
      </c>
      <c r="F4" s="33">
        <f>IFERROR(E4/D4,0)</f>
        <v/>
      </c>
      <c r="G4" s="13">
        <f>'CH富士吉田 寝台車 29'!G6</f>
        <v/>
      </c>
      <c r="H4" s="34">
        <f>'CH富士吉田 寝台車 29'!$H$6</f>
        <v/>
      </c>
      <c r="I4" s="34">
        <f>'CH富士吉田 寝台車 29'!$I$6</f>
        <v/>
      </c>
      <c r="J4" s="15">
        <f>SUM(H4:I4)</f>
        <v/>
      </c>
      <c r="K4" s="43">
        <f>'CH富士吉田 寝台車 29'!K6</f>
        <v/>
      </c>
    </row>
    <row r="5">
      <c r="A5" s="13" t="inlineStr">
        <is>
          <t>№2</t>
        </is>
      </c>
      <c r="B5" s="10" t="inlineStr">
        <is>
          <t>ＣＨ富士吉田</t>
        </is>
      </c>
      <c r="C5" s="10" t="n">
        <v>30</v>
      </c>
      <c r="D5" s="13">
        <f>$D$4</f>
        <v/>
      </c>
      <c r="E5" s="13">
        <f>'CH富士吉田 寝台車 30'!$E$6</f>
        <v/>
      </c>
      <c r="F5" s="33">
        <f>IFERROR(E5/D5,0)</f>
        <v/>
      </c>
      <c r="G5" s="13">
        <f>'CH富士吉田 寝台車 30'!G6</f>
        <v/>
      </c>
      <c r="H5" s="34">
        <f>'CH富士吉田 寝台車 30'!H6</f>
        <v/>
      </c>
      <c r="I5" s="34">
        <f>'CH富士吉田 寝台車 30'!I6</f>
        <v/>
      </c>
      <c r="J5" s="15">
        <f>SUM(H5:I5)</f>
        <v/>
      </c>
      <c r="K5" s="43">
        <f>'CH富士吉田 寝台車 30'!K6</f>
        <v/>
      </c>
    </row>
    <row r="6">
      <c r="A6" s="13" t="inlineStr">
        <is>
          <t>№7</t>
        </is>
      </c>
      <c r="B6" s="10" t="inlineStr">
        <is>
          <t>CH富士吉田</t>
        </is>
      </c>
      <c r="C6" s="10" t="n">
        <v>40</v>
      </c>
      <c r="D6" s="13">
        <f>$D$4</f>
        <v/>
      </c>
      <c r="E6" s="13">
        <f>'CH富士吉田 霊柩車 40'!E6</f>
        <v/>
      </c>
      <c r="F6" s="33">
        <f>IFERROR(E6/D6,0)</f>
        <v/>
      </c>
      <c r="G6" s="13">
        <f>'CH富士吉田 霊柩車 40'!G6</f>
        <v/>
      </c>
      <c r="H6" s="34">
        <f>'CH富士吉田 霊柩車 40'!H6</f>
        <v/>
      </c>
      <c r="I6" s="34">
        <f>'CH富士吉田 霊柩車 40'!I6</f>
        <v/>
      </c>
      <c r="J6" s="15">
        <f>SUM(H6:I6)</f>
        <v/>
      </c>
      <c r="K6" s="43">
        <f>'CH富士吉田 霊柩車 40'!K6</f>
        <v/>
      </c>
    </row>
    <row r="7">
      <c r="A7" s="13" t="inlineStr">
        <is>
          <t>№8</t>
        </is>
      </c>
      <c r="B7" s="10" t="inlineStr">
        <is>
          <t>CH富士吉田</t>
        </is>
      </c>
      <c r="C7" s="10" t="n">
        <v>223</v>
      </c>
      <c r="D7" s="13">
        <f>$D$4</f>
        <v/>
      </c>
      <c r="E7" s="13">
        <f>'CH富士吉田 霊柩車 223'!E6</f>
        <v/>
      </c>
      <c r="F7" s="33">
        <f>IFERROR(E7/D7,0)</f>
        <v/>
      </c>
      <c r="G7" s="13">
        <f>'CH富士吉田 霊柩車 223'!G6</f>
        <v/>
      </c>
      <c r="H7" s="34">
        <f>'CH富士吉田 霊柩車 223'!H6</f>
        <v/>
      </c>
      <c r="I7" s="34">
        <f>'CH富士吉田 霊柩車 223'!I6</f>
        <v/>
      </c>
      <c r="J7" s="15">
        <f>SUM(H7:I7)</f>
        <v/>
      </c>
      <c r="K7" s="43">
        <f>'CH富士吉田 霊柩車 223'!K6</f>
        <v/>
      </c>
    </row>
    <row r="8">
      <c r="A8" s="13" t="inlineStr">
        <is>
          <t>№3</t>
        </is>
      </c>
      <c r="B8" s="10" t="inlineStr">
        <is>
          <t>CH大月</t>
        </is>
      </c>
      <c r="C8" s="10" t="n">
        <v>1603</v>
      </c>
      <c r="D8" s="13">
        <f>$D$4</f>
        <v/>
      </c>
      <c r="E8" s="13">
        <f>'CH大月 寝台車 1603'!E6</f>
        <v/>
      </c>
      <c r="F8" s="33">
        <f>IFERROR(E8/D8,0)</f>
        <v/>
      </c>
      <c r="G8" s="13">
        <f>'CH大月 寝台車 1603'!G6</f>
        <v/>
      </c>
      <c r="H8" s="34">
        <f>'CH大月 寝台車 1603'!H6</f>
        <v/>
      </c>
      <c r="I8" s="34">
        <f>'CH大月 寝台車 1603'!I6</f>
        <v/>
      </c>
      <c r="J8" s="15">
        <f>SUM(H8:I8)</f>
        <v/>
      </c>
      <c r="K8" s="43">
        <f>'CH大月 寝台車 1603'!K6</f>
        <v/>
      </c>
    </row>
    <row r="9">
      <c r="A9" s="13" t="inlineStr">
        <is>
          <t>№4</t>
        </is>
      </c>
      <c r="B9" s="10" t="inlineStr">
        <is>
          <t>CH大月</t>
        </is>
      </c>
      <c r="C9" s="10" t="n">
        <v>2577</v>
      </c>
      <c r="D9" s="13">
        <f>$D$4</f>
        <v/>
      </c>
      <c r="E9" s="13">
        <f>'CH大月 霊柩車 2577'!E6</f>
        <v/>
      </c>
      <c r="F9" s="33">
        <f>IFERROR(E9/D9,0)</f>
        <v/>
      </c>
      <c r="G9" s="13">
        <f>'CH大月 霊柩車 2577'!G6</f>
        <v/>
      </c>
      <c r="H9" s="13">
        <f>'CH大月 霊柩車 2577'!H6</f>
        <v/>
      </c>
      <c r="I9" s="13">
        <f>'CH大月 霊柩車 2577'!I6</f>
        <v/>
      </c>
      <c r="J9" s="15">
        <f>SUM(H9:I9)</f>
        <v/>
      </c>
      <c r="K9" s="43">
        <f>'CH大月 霊柩車 2577'!K6</f>
        <v/>
      </c>
    </row>
    <row r="10">
      <c r="A10" s="13" t="inlineStr">
        <is>
          <t>№5</t>
        </is>
      </c>
      <c r="B10" s="10" t="inlineStr">
        <is>
          <t>ＣＨ東富士</t>
        </is>
      </c>
      <c r="C10" s="10" t="n">
        <v>1105</v>
      </c>
      <c r="D10" s="13">
        <f>$D$4</f>
        <v/>
      </c>
      <c r="E10" s="13">
        <f>'CH東富士 寝台車 1508'!E6</f>
        <v/>
      </c>
      <c r="F10" s="33">
        <f>IFERROR(E10/D10,0)</f>
        <v/>
      </c>
      <c r="G10" s="13">
        <f>'CH東富士 寝台車 1508'!G6</f>
        <v/>
      </c>
      <c r="H10" s="34">
        <f>'CH東富士 寝台車 1508'!H6</f>
        <v/>
      </c>
      <c r="I10" s="34">
        <f>'CH東富士 寝台車 1508'!I6</f>
        <v/>
      </c>
      <c r="J10" s="15">
        <f>SUM(H10:I10)</f>
        <v/>
      </c>
      <c r="K10" s="43">
        <f>'CH東富士 寝台車 1508'!K6</f>
        <v/>
      </c>
    </row>
    <row r="11">
      <c r="A11" s="13" t="inlineStr">
        <is>
          <t>№6</t>
        </is>
      </c>
      <c r="B11" s="10" t="inlineStr">
        <is>
          <t>ＣＨ東富士</t>
        </is>
      </c>
      <c r="C11" s="10" t="n">
        <v>1381</v>
      </c>
      <c r="D11" s="13">
        <f>$D$4</f>
        <v/>
      </c>
      <c r="E11" s="13">
        <f>'CH東富士 霊柩車 1381'!E6</f>
        <v/>
      </c>
      <c r="F11" s="33">
        <f>IFERROR(E11/D11,0)</f>
        <v/>
      </c>
      <c r="G11" s="13">
        <f>'CH東富士 霊柩車 1381'!G6</f>
        <v/>
      </c>
      <c r="H11" s="34">
        <f>'CH東富士 霊柩車 1381'!H6</f>
        <v/>
      </c>
      <c r="I11" s="34">
        <f>'CH東富士 霊柩車 1381'!I6</f>
        <v/>
      </c>
      <c r="J11" s="15">
        <f>SUM(H11:I11)</f>
        <v/>
      </c>
      <c r="K11" s="43">
        <f>'CH東富士 霊柩車 1381'!K6</f>
        <v/>
      </c>
    </row>
    <row r="12">
      <c r="A12" s="13" t="inlineStr">
        <is>
          <t>№10</t>
        </is>
      </c>
      <c r="B12" s="10" t="inlineStr">
        <is>
          <t>東日本セレモニー</t>
        </is>
      </c>
      <c r="C12" s="10" t="n">
        <v>1961</v>
      </c>
      <c r="D12" s="13">
        <f>$D$4</f>
        <v/>
      </c>
      <c r="E12" s="13">
        <f>'東日本セレモニー 1961'!E6</f>
        <v/>
      </c>
      <c r="F12" s="33">
        <f>IFERROR(E12/D12,0)</f>
        <v/>
      </c>
      <c r="G12" s="13">
        <f>'東日本セレモニー 1961'!G6</f>
        <v/>
      </c>
      <c r="H12" s="34">
        <f>'東日本セレモニー 1961'!H6</f>
        <v/>
      </c>
      <c r="I12" s="34">
        <f>'東日本セレモニー 1961'!I6</f>
        <v/>
      </c>
      <c r="J12" s="15">
        <f>SUM(H12:I12)</f>
        <v/>
      </c>
      <c r="K12" s="43">
        <f>'東日本セレモニー 1961'!K6</f>
        <v/>
      </c>
    </row>
    <row r="13">
      <c r="A13" s="13" t="inlineStr">
        <is>
          <t>№11</t>
        </is>
      </c>
      <c r="B13" s="10" t="inlineStr">
        <is>
          <t>東日本セレモニー</t>
        </is>
      </c>
      <c r="C13" s="10" t="n">
        <v>2259</v>
      </c>
      <c r="D13" s="13">
        <f>$D$4</f>
        <v/>
      </c>
      <c r="E13" s="13">
        <f>'東日本セレモニー 2259'!E6</f>
        <v/>
      </c>
      <c r="F13" s="33">
        <f>IFERROR(E13/D13,0)</f>
        <v/>
      </c>
      <c r="G13" s="13">
        <f>'東日本セレモニー 2259'!G6</f>
        <v/>
      </c>
      <c r="H13" s="34">
        <f>'東日本セレモニー 2259'!H6</f>
        <v/>
      </c>
      <c r="I13" s="34">
        <f>'東日本セレモニー 2259'!I6</f>
        <v/>
      </c>
      <c r="J13" s="15">
        <f>SUM(H13:I13)</f>
        <v/>
      </c>
      <c r="K13" s="43">
        <f>'東日本セレモニー 2259'!K6</f>
        <v/>
      </c>
    </row>
    <row r="14">
      <c r="A14" s="13" t="inlineStr">
        <is>
          <t>№12</t>
        </is>
      </c>
      <c r="B14" s="10" t="inlineStr">
        <is>
          <t>東日本セレモニー</t>
        </is>
      </c>
      <c r="C14" s="10" t="n">
        <v>2262</v>
      </c>
      <c r="D14" s="13">
        <f>$D$4</f>
        <v/>
      </c>
      <c r="E14" s="13">
        <f>'東日本セレモニー 2262'!E6</f>
        <v/>
      </c>
      <c r="F14" s="33">
        <f>IFERROR(E14/D14,0)</f>
        <v/>
      </c>
      <c r="G14" s="13">
        <f>'東日本セレモニー 2262'!G6</f>
        <v/>
      </c>
      <c r="H14" s="34">
        <f>'東日本セレモニー 2262'!H6</f>
        <v/>
      </c>
      <c r="I14" s="34">
        <f>'東日本セレモニー 2262'!I6</f>
        <v/>
      </c>
      <c r="J14" s="15">
        <f>SUM(H14:I14)</f>
        <v/>
      </c>
      <c r="K14" s="43">
        <f>'東日本セレモニー 2262'!K6</f>
        <v/>
      </c>
    </row>
    <row r="15">
      <c r="A15" s="13" t="inlineStr">
        <is>
          <t>№13</t>
        </is>
      </c>
      <c r="B15" s="10" t="inlineStr">
        <is>
          <t>東日本セレモニー</t>
        </is>
      </c>
      <c r="C15" s="35" t="n">
        <v>2380</v>
      </c>
      <c r="D15" s="13">
        <f>$D$4</f>
        <v/>
      </c>
      <c r="E15" s="13">
        <f>'東日本セレモニー 2380'!E6</f>
        <v/>
      </c>
      <c r="F15" s="37">
        <f>IFERROR(E15/D15,0)</f>
        <v/>
      </c>
      <c r="G15" s="13">
        <f>'東日本セレモニー 2380'!G6</f>
        <v/>
      </c>
      <c r="H15" s="34">
        <f>'東日本セレモニー 2380'!H6</f>
        <v/>
      </c>
      <c r="I15" s="34">
        <f>'東日本セレモニー 2380'!I6</f>
        <v/>
      </c>
      <c r="J15" s="15">
        <f>SUM(H15:I15)</f>
        <v/>
      </c>
      <c r="K15" s="43">
        <f>'東日本セレモニー 2380'!K6</f>
        <v/>
      </c>
    </row>
    <row r="16" ht="24" customHeight="1" s="41">
      <c r="A16" s="22" t="inlineStr">
        <is>
          <t>合　　　計</t>
        </is>
      </c>
      <c r="B16" s="23" t="n"/>
      <c r="C16" s="24" t="n"/>
      <c r="D16" s="25">
        <f>SUM(D4:D15)</f>
        <v/>
      </c>
      <c r="E16" s="25">
        <f>SUM(E4:E15)</f>
        <v/>
      </c>
      <c r="F16" s="38">
        <f>IFERROR(E16/D16,0)</f>
        <v/>
      </c>
      <c r="G16" s="25">
        <f>SUM(G4:G15)</f>
        <v/>
      </c>
      <c r="H16" s="36">
        <f>SUM(H4:H15)</f>
        <v/>
      </c>
      <c r="I16" s="36">
        <f>SUM(I4:I15)</f>
        <v/>
      </c>
      <c r="J16" s="27">
        <f>SUM(J4:J15)</f>
        <v/>
      </c>
      <c r="K16" s="44">
        <f>SUM(K4:K15)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8">
    <tabColor rgb="FF008000"/>
    <outlinePr summaryBelow="1" summaryRight="1"/>
    <pageSetUpPr/>
  </sheetPr>
  <dimension ref="A1:K6"/>
  <sheetViews>
    <sheetView workbookViewId="0">
      <selection activeCell="D1" sqref="D1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 t="n">
        <v>0</v>
      </c>
      <c r="B1" s="2" t="n">
        <v>0</v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CH富士吉田</t>
        </is>
      </c>
      <c r="C4" s="10" t="n">
        <v>29</v>
      </c>
      <c r="D4" s="13">
        <f>DAY(EOMONTH(DATE(VALUE(MID(A1,2,LEN(A1)-1))+2018,B1,1),0))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9">
    <tabColor rgb="FF008000"/>
    <outlinePr summaryBelow="1" summaryRight="1"/>
    <pageSetUpPr/>
  </sheetPr>
  <dimension ref="A1:K6"/>
  <sheetViews>
    <sheetView workbookViewId="0">
      <selection activeCell="K4" sqref="K4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CH富士吉田</t>
        </is>
      </c>
      <c r="C4" s="10" t="n">
        <v>30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10">
    <tabColor rgb="FF008000"/>
    <outlinePr summaryBelow="1" summaryRight="1"/>
    <pageSetUpPr/>
  </sheetPr>
  <dimension ref="A1:K6"/>
  <sheetViews>
    <sheetView workbookViewId="0">
      <selection activeCell="B1" sqref="B1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CH富士吉田</t>
        </is>
      </c>
      <c r="C4" s="10" t="n">
        <v>40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11">
    <tabColor rgb="FF008000"/>
    <outlinePr summaryBelow="1" summaryRight="1"/>
    <pageSetUpPr/>
  </sheetPr>
  <dimension ref="A1:K6"/>
  <sheetViews>
    <sheetView workbookViewId="0">
      <selection activeCell="B1" sqref="B1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CH富士吉田</t>
        </is>
      </c>
      <c r="C4" s="10" t="n">
        <v>223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12">
    <tabColor rgb="FF008000"/>
    <outlinePr summaryBelow="1" summaryRight="1"/>
    <pageSetUpPr/>
  </sheetPr>
  <dimension ref="A1:K6"/>
  <sheetViews>
    <sheetView tabSelected="1" workbookViewId="0">
      <selection activeCell="B1" sqref="B1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ＣＨ大月</t>
        </is>
      </c>
      <c r="C4" s="10" t="n">
        <v>1603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8000"/>
    <outlinePr summaryBelow="1" summaryRight="1"/>
    <pageSetUpPr/>
  </sheetPr>
  <dimension ref="A1:K6"/>
  <sheetViews>
    <sheetView workbookViewId="0">
      <selection activeCell="D1" sqref="D1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ＣＨ大月</t>
        </is>
      </c>
      <c r="C4" s="10" t="n">
        <v>1603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39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14">
    <tabColor rgb="FF008000"/>
    <outlinePr summaryBelow="1" summaryRight="1"/>
    <pageSetUpPr/>
  </sheetPr>
  <dimension ref="A1:K6"/>
  <sheetViews>
    <sheetView workbookViewId="0">
      <selection activeCell="B1" sqref="B1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ＣＨ東富士</t>
        </is>
      </c>
      <c r="C4" s="10" t="n">
        <v>1381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Sheet13">
    <tabColor rgb="FF008000"/>
    <outlinePr summaryBelow="1" summaryRight="1"/>
    <pageSetUpPr/>
  </sheetPr>
  <dimension ref="A1:K6"/>
  <sheetViews>
    <sheetView workbookViewId="0">
      <selection activeCell="B1" sqref="B1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ＣＨ東富士</t>
        </is>
      </c>
      <c r="C4" s="10" t="n">
        <v>1105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codeName="Sheet16">
    <tabColor rgb="FF33CAFF"/>
    <outlinePr summaryBelow="1" summaryRight="1"/>
    <pageSetUpPr/>
  </sheetPr>
  <dimension ref="A1:K6"/>
  <sheetViews>
    <sheetView workbookViewId="0">
      <selection activeCell="D1" sqref="D1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東日本</t>
        </is>
      </c>
      <c r="C4" s="10" t="n">
        <v>1961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codeName="Sheet17">
    <tabColor rgb="FF33CAFF"/>
    <outlinePr summaryBelow="1" summaryRight="1"/>
    <pageSetUpPr/>
  </sheetPr>
  <dimension ref="A1:K6"/>
  <sheetViews>
    <sheetView workbookViewId="0">
      <selection activeCell="H26" sqref="H26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東日本</t>
        </is>
      </c>
      <c r="C4" s="10" t="n">
        <v>2259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codeName="Sheet18">
    <tabColor rgb="FF33CAFF"/>
    <outlinePr summaryBelow="1" summaryRight="1"/>
    <pageSetUpPr/>
  </sheetPr>
  <dimension ref="A1:K6"/>
  <sheetViews>
    <sheetView workbookViewId="0">
      <selection activeCell="B4" sqref="B4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東日本</t>
        </is>
      </c>
      <c r="C4" s="10" t="n">
        <v>2262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codeName="Sheet19">
    <tabColor rgb="FF33CAFF"/>
    <outlinePr summaryBelow="1" summaryRight="1"/>
    <pageSetUpPr/>
  </sheetPr>
  <dimension ref="A1:K6"/>
  <sheetViews>
    <sheetView workbookViewId="0">
      <selection activeCell="I25" sqref="I25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inlineStr">
        <is>
          <t>東日本</t>
        </is>
      </c>
      <c r="C4" s="10" t="n">
        <v>2380</v>
      </c>
      <c r="D4" s="13">
        <f>寝台車_29[[#This Row],[延実在
車輌数]]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008000"/>
    <outlinePr summaryBelow="1" summaryRight="1"/>
    <pageSetUpPr/>
  </sheetPr>
  <dimension ref="A1:K6"/>
  <sheetViews>
    <sheetView workbookViewId="0">
      <selection activeCell="G4" sqref="G4"/>
    </sheetView>
  </sheetViews>
  <sheetFormatPr baseColWidth="8" defaultRowHeight="17.25"/>
  <cols>
    <col width="7.75" customWidth="1" style="4" min="1" max="1"/>
    <col width="15.375" bestFit="1" customWidth="1" style="4" min="2" max="2"/>
    <col width="12.75" customWidth="1" style="4" min="3" max="3"/>
    <col width="13.25" customWidth="1" style="4" min="4" max="4"/>
    <col width="13.375" customWidth="1" style="4" min="5" max="5"/>
    <col width="10.25" customWidth="1" style="4" min="6" max="6"/>
    <col width="12.75" customWidth="1" style="4" min="7" max="7"/>
    <col width="13.5" customWidth="1" style="4" min="8" max="8"/>
    <col width="14.75" customWidth="1" style="4" min="9" max="9"/>
    <col width="14.125" customWidth="1" style="4" min="10" max="10"/>
    <col width="15.5" customWidth="1" style="4" min="11" max="11"/>
    <col width="9" customWidth="1" style="4" min="12" max="12"/>
    <col width="9" customWidth="1" style="4" min="13" max="16384"/>
  </cols>
  <sheetData>
    <row r="1">
      <c r="A1" s="1">
        <f>'CH富士吉田 寝台車 29'!A1</f>
        <v/>
      </c>
      <c r="B1" s="2">
        <f>'CH富士吉田 寝台車 29'!B1</f>
        <v/>
      </c>
      <c r="C1" s="3" t="inlineStr">
        <is>
          <t>月分</t>
        </is>
      </c>
    </row>
    <row r="2">
      <c r="C2" s="5" t="n"/>
      <c r="G2" s="6" t="inlineStr">
        <is>
          <t>走行キロ(ｋｍ)</t>
        </is>
      </c>
      <c r="H2" s="7" t="n"/>
      <c r="I2" s="7" t="n"/>
      <c r="J2" s="8" t="n"/>
      <c r="K2" s="40" t="n"/>
    </row>
    <row r="3" ht="34.5" customHeight="1" s="41">
      <c r="A3" s="10" t="inlineStr">
        <is>
          <t>台数</t>
        </is>
      </c>
      <c r="B3" s="10" t="inlineStr">
        <is>
          <t>支社名</t>
        </is>
      </c>
      <c r="C3" s="10" t="inlineStr">
        <is>
          <t>車輌番号</t>
        </is>
      </c>
      <c r="D3" s="11" t="inlineStr">
        <is>
          <t>延実在
車輌数</t>
        </is>
      </c>
      <c r="E3" s="11" t="inlineStr">
        <is>
          <t>延実働
車輌数</t>
        </is>
      </c>
      <c r="F3" s="10" t="inlineStr">
        <is>
          <t>稼働率</t>
        </is>
      </c>
      <c r="G3" s="10" t="inlineStr">
        <is>
          <t>搬送回数</t>
        </is>
      </c>
      <c r="H3" s="10" t="inlineStr">
        <is>
          <t>有料キロ数</t>
        </is>
      </c>
      <c r="I3" s="10" t="inlineStr">
        <is>
          <t>無料キロ数</t>
        </is>
      </c>
      <c r="J3" s="10" t="inlineStr">
        <is>
          <t>総走行ｋｍ</t>
        </is>
      </c>
      <c r="K3" s="45" t="inlineStr">
        <is>
          <t>運輸実績</t>
        </is>
      </c>
    </row>
    <row r="4">
      <c r="A4" s="13" t="n">
        <v>1</v>
      </c>
      <c r="B4" s="10" t="n"/>
      <c r="C4" s="10" t="n"/>
      <c r="D4" s="13">
        <f>DAY(EOMONTH(DATE(VALUE(MID(A1,2,LEN(A1)-1))+2018,B1,1),0))</f>
        <v/>
      </c>
      <c r="E4" s="13" t="n"/>
      <c r="F4" s="46">
        <f>E4/D4</f>
        <v/>
      </c>
      <c r="G4" s="13" t="n"/>
      <c r="H4" s="15" t="n"/>
      <c r="I4" s="15" t="n"/>
      <c r="J4" s="15">
        <f>SUM(H4:I4)</f>
        <v/>
      </c>
      <c r="K4" s="43" t="n"/>
    </row>
    <row r="5">
      <c r="A5" s="17" t="n"/>
      <c r="B5" s="18" t="n"/>
      <c r="C5" s="18" t="n"/>
      <c r="D5" s="17" t="n"/>
      <c r="E5" s="17" t="n"/>
      <c r="F5" s="47" t="n"/>
      <c r="G5" s="17" t="n"/>
      <c r="H5" s="20" t="n"/>
      <c r="I5" s="20" t="n"/>
      <c r="J5" s="20" t="n"/>
      <c r="K5" s="48" t="n"/>
    </row>
    <row r="6" ht="24" customHeight="1" s="41">
      <c r="A6" s="22" t="inlineStr">
        <is>
          <t>合　　　計</t>
        </is>
      </c>
      <c r="B6" s="23" t="n"/>
      <c r="C6" s="24" t="n"/>
      <c r="D6" s="25">
        <f>SUM(D4:D5)</f>
        <v/>
      </c>
      <c r="E6" s="25">
        <f>SUM(E4:E5)</f>
        <v/>
      </c>
      <c r="F6" s="49">
        <f>E6/D6</f>
        <v/>
      </c>
      <c r="G6" s="25">
        <f>SUM(G4:G5)</f>
        <v/>
      </c>
      <c r="H6" s="25">
        <f>SUM(H4:H5)</f>
        <v/>
      </c>
      <c r="I6" s="25">
        <f>SUM(I4:I5)</f>
        <v/>
      </c>
      <c r="J6" s="27">
        <f>SUM(J4:J5)</f>
        <v/>
      </c>
      <c r="K6" s="44">
        <f>SUM(K4:K5)</f>
        <v/>
      </c>
    </row>
  </sheetData>
  <pageMargins left="0.7874015748031497" right="0.7874015748031497" top="0.984251968503937" bottom="0.984251968503937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2025-09-27T03:06:18Z</dcterms:created>
  <dcterms:modified xmlns:dcterms="http://purl.org/dc/terms/" xmlns:xsi="http://www.w3.org/2001/XMLSchema-instance" xsi:type="dcterms:W3CDTF">2026-03-10T08:53:01Z</dcterms:modified>
  <cp:lastModifiedBy>Sedil Bloodley</cp:lastModifiedBy>
</cp:coreProperties>
</file>