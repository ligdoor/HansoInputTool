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gdoor\source\repos\HansoInputTool\data\"/>
    </mc:Choice>
  </mc:AlternateContent>
  <xr:revisionPtr revIDLastSave="0" documentId="11_5D56C960E64034B205915DACDDDC15C214AF1B92" xr6:coauthVersionLast="47" xr6:coauthVersionMax="47" xr10:uidLastSave="{00000000-0000-0000-0000-000000000000}"/>
  <bookViews>
    <workbookView xWindow="1545" yWindow="1740" windowWidth="27495" windowHeight="18585" tabRatio="851" xr2:uid="{00000000-000D-0000-FFFF-FFFF00000000}"/>
  </bookViews>
  <sheets>
    <sheet name="月間集計" sheetId="1" r:id="rId1"/>
    <sheet name="CH富士吉田 寝台車 29" sheetId="2" r:id="rId2"/>
    <sheet name="CH富士吉田 寝台車 30" sheetId="3" r:id="rId3"/>
    <sheet name="CH富士吉田 霊柩車 40" sheetId="4" r:id="rId4"/>
    <sheet name="CH富士吉田 霊柩車 223" sheetId="5" r:id="rId5"/>
    <sheet name="CH大月 寝台車 1603" sheetId="6" r:id="rId6"/>
    <sheet name="CH大月 霊柩車 2577" sheetId="7" r:id="rId7"/>
    <sheet name="CH東富士 霊柩車 1381" sheetId="8" r:id="rId8"/>
    <sheet name="CH東富士 寝台車 1508" sheetId="9" r:id="rId9"/>
    <sheet name="東日本セレモニー 1961" sheetId="10" r:id="rId10"/>
    <sheet name="東日本セレモニー 2259" sheetId="11" r:id="rId11"/>
    <sheet name="東日本セレモニー 2262" sheetId="12" r:id="rId12"/>
    <sheet name="東日本セレモニー 2380" sheetId="13" r:id="rId13"/>
    <sheet name="Template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4" l="1"/>
  <c r="J6" i="14"/>
  <c r="I6" i="14"/>
  <c r="H6" i="14"/>
  <c r="G6" i="14"/>
  <c r="E6" i="14"/>
  <c r="J4" i="14"/>
  <c r="B1" i="14"/>
  <c r="A1" i="14"/>
  <c r="D4" i="14" s="1"/>
  <c r="K6" i="13"/>
  <c r="K15" i="1" s="1"/>
  <c r="J6" i="13"/>
  <c r="I6" i="13"/>
  <c r="I15" i="1" s="1"/>
  <c r="H6" i="13"/>
  <c r="G6" i="13"/>
  <c r="G15" i="1" s="1"/>
  <c r="E6" i="13"/>
  <c r="J4" i="13"/>
  <c r="B1" i="13"/>
  <c r="A1" i="13"/>
  <c r="K6" i="12"/>
  <c r="I6" i="12"/>
  <c r="H6" i="12"/>
  <c r="G6" i="12"/>
  <c r="E6" i="12"/>
  <c r="J4" i="12"/>
  <c r="J6" i="12" s="1"/>
  <c r="B1" i="12"/>
  <c r="A1" i="12"/>
  <c r="K6" i="11"/>
  <c r="I6" i="11"/>
  <c r="H6" i="11"/>
  <c r="G6" i="11"/>
  <c r="E6" i="11"/>
  <c r="J4" i="11"/>
  <c r="J6" i="11" s="1"/>
  <c r="B1" i="11"/>
  <c r="A1" i="11"/>
  <c r="K6" i="10"/>
  <c r="J6" i="10"/>
  <c r="I6" i="10"/>
  <c r="H6" i="10"/>
  <c r="G6" i="10"/>
  <c r="E6" i="10"/>
  <c r="J4" i="10"/>
  <c r="B1" i="10"/>
  <c r="A1" i="10"/>
  <c r="K6" i="9"/>
  <c r="K10" i="1" s="1"/>
  <c r="I6" i="9"/>
  <c r="H6" i="9"/>
  <c r="G6" i="9"/>
  <c r="E6" i="9"/>
  <c r="E10" i="1" s="1"/>
  <c r="J4" i="9"/>
  <c r="J6" i="9" s="1"/>
  <c r="B1" i="9"/>
  <c r="A1" i="9"/>
  <c r="K6" i="8"/>
  <c r="I6" i="8"/>
  <c r="I11" i="1" s="1"/>
  <c r="H6" i="8"/>
  <c r="G6" i="8"/>
  <c r="G11" i="1" s="1"/>
  <c r="E6" i="8"/>
  <c r="E11" i="1" s="1"/>
  <c r="J4" i="8"/>
  <c r="J6" i="8" s="1"/>
  <c r="B1" i="8"/>
  <c r="A1" i="8"/>
  <c r="K6" i="7"/>
  <c r="I6" i="7"/>
  <c r="H6" i="7"/>
  <c r="H9" i="1" s="1"/>
  <c r="J9" i="1" s="1"/>
  <c r="G6" i="7"/>
  <c r="G9" i="1" s="1"/>
  <c r="E6" i="7"/>
  <c r="J4" i="7"/>
  <c r="J6" i="7" s="1"/>
  <c r="B1" i="7"/>
  <c r="A1" i="7"/>
  <c r="K6" i="5"/>
  <c r="I6" i="5"/>
  <c r="H6" i="5"/>
  <c r="G6" i="5"/>
  <c r="G7" i="1" s="1"/>
  <c r="E6" i="5"/>
  <c r="E7" i="1" s="1"/>
  <c r="J4" i="5"/>
  <c r="J6" i="5" s="1"/>
  <c r="B1" i="5"/>
  <c r="A1" i="5"/>
  <c r="K6" i="4"/>
  <c r="I6" i="4"/>
  <c r="I6" i="1" s="1"/>
  <c r="H6" i="4"/>
  <c r="H6" i="1" s="1"/>
  <c r="J6" i="1" s="1"/>
  <c r="G6" i="4"/>
  <c r="G6" i="1" s="1"/>
  <c r="E6" i="4"/>
  <c r="J4" i="4"/>
  <c r="J6" i="4" s="1"/>
  <c r="B1" i="4"/>
  <c r="A1" i="4"/>
  <c r="K6" i="3"/>
  <c r="K5" i="1" s="1"/>
  <c r="J6" i="3"/>
  <c r="I6" i="3"/>
  <c r="I5" i="1" s="1"/>
  <c r="H6" i="3"/>
  <c r="H5" i="1" s="1"/>
  <c r="G6" i="3"/>
  <c r="G5" i="1" s="1"/>
  <c r="E6" i="3"/>
  <c r="J4" i="3"/>
  <c r="B1" i="3"/>
  <c r="A1" i="3"/>
  <c r="K6" i="2"/>
  <c r="K4" i="1" s="1"/>
  <c r="J6" i="2"/>
  <c r="I6" i="2"/>
  <c r="I4" i="1" s="1"/>
  <c r="H6" i="2"/>
  <c r="G6" i="2"/>
  <c r="G4" i="1" s="1"/>
  <c r="E6" i="2"/>
  <c r="J4" i="2"/>
  <c r="D4" i="2"/>
  <c r="D4" i="10" s="1"/>
  <c r="H15" i="1"/>
  <c r="E15" i="1"/>
  <c r="K14" i="1"/>
  <c r="I14" i="1"/>
  <c r="H14" i="1"/>
  <c r="J14" i="1" s="1"/>
  <c r="G14" i="1"/>
  <c r="E14" i="1"/>
  <c r="K13" i="1"/>
  <c r="I13" i="1"/>
  <c r="H13" i="1"/>
  <c r="J13" i="1" s="1"/>
  <c r="G13" i="1"/>
  <c r="E13" i="1"/>
  <c r="K12" i="1"/>
  <c r="I12" i="1"/>
  <c r="H12" i="1"/>
  <c r="J12" i="1" s="1"/>
  <c r="G12" i="1"/>
  <c r="E12" i="1"/>
  <c r="K11" i="1"/>
  <c r="H11" i="1"/>
  <c r="J11" i="1" s="1"/>
  <c r="I10" i="1"/>
  <c r="H10" i="1"/>
  <c r="J10" i="1" s="1"/>
  <c r="G10" i="1"/>
  <c r="K9" i="1"/>
  <c r="I9" i="1"/>
  <c r="E8" i="1"/>
  <c r="K7" i="1"/>
  <c r="I7" i="1"/>
  <c r="H7" i="1"/>
  <c r="J7" i="1" s="1"/>
  <c r="K6" i="1"/>
  <c r="E6" i="1"/>
  <c r="E5" i="1"/>
  <c r="H4" i="1"/>
  <c r="J4" i="1" s="1"/>
  <c r="B1" i="1"/>
  <c r="A1" i="1"/>
  <c r="K6" i="6"/>
  <c r="K8" i="1" s="1"/>
  <c r="J6" i="6"/>
  <c r="I6" i="6"/>
  <c r="I8" i="1" s="1"/>
  <c r="H6" i="6"/>
  <c r="H8" i="1" s="1"/>
  <c r="J8" i="1" s="1"/>
  <c r="G6" i="6"/>
  <c r="G8" i="1" s="1"/>
  <c r="E6" i="6"/>
  <c r="J4" i="6"/>
  <c r="B1" i="6"/>
  <c r="A1" i="6"/>
  <c r="D6" i="14" l="1"/>
  <c r="F4" i="14"/>
  <c r="F6" i="14"/>
  <c r="J16" i="1"/>
  <c r="I16" i="1"/>
  <c r="F4" i="10"/>
  <c r="D6" i="10"/>
  <c r="F6" i="10" s="1"/>
  <c r="J5" i="1"/>
  <c r="K16" i="1"/>
  <c r="F6" i="2"/>
  <c r="J15" i="1"/>
  <c r="G16" i="1"/>
  <c r="H16" i="1"/>
  <c r="E9" i="1"/>
  <c r="D4" i="12"/>
  <c r="D4" i="13"/>
  <c r="F4" i="2"/>
  <c r="D4" i="3"/>
  <c r="D4" i="4"/>
  <c r="D4" i="11"/>
  <c r="D4" i="6"/>
  <c r="D6" i="2"/>
  <c r="D4" i="1" s="1"/>
  <c r="D4" i="5"/>
  <c r="E4" i="1"/>
  <c r="D4" i="8"/>
  <c r="D4" i="7"/>
  <c r="D4" i="9"/>
  <c r="D6" i="4" l="1"/>
  <c r="F6" i="4" s="1"/>
  <c r="F4" i="4"/>
  <c r="F4" i="9"/>
  <c r="D6" i="9"/>
  <c r="F6" i="9" s="1"/>
  <c r="F4" i="8"/>
  <c r="D6" i="8"/>
  <c r="F6" i="8" s="1"/>
  <c r="F9" i="1"/>
  <c r="D6" i="13"/>
  <c r="F6" i="13" s="1"/>
  <c r="F4" i="13"/>
  <c r="D6" i="11"/>
  <c r="F6" i="11" s="1"/>
  <c r="F4" i="11"/>
  <c r="D6" i="3"/>
  <c r="F6" i="3" s="1"/>
  <c r="F4" i="3"/>
  <c r="D9" i="1"/>
  <c r="D16" i="1"/>
  <c r="D13" i="1"/>
  <c r="F13" i="1" s="1"/>
  <c r="D10" i="1"/>
  <c r="F10" i="1" s="1"/>
  <c r="D7" i="1"/>
  <c r="F7" i="1" s="1"/>
  <c r="D11" i="1"/>
  <c r="F11" i="1" s="1"/>
  <c r="D8" i="1"/>
  <c r="F8" i="1" s="1"/>
  <c r="D5" i="1"/>
  <c r="F5" i="1" s="1"/>
  <c r="D12" i="1"/>
  <c r="F12" i="1" s="1"/>
  <c r="D6" i="1"/>
  <c r="F6" i="1" s="1"/>
  <c r="D14" i="1"/>
  <c r="F14" i="1" s="1"/>
  <c r="D15" i="1"/>
  <c r="F15" i="1" s="1"/>
  <c r="D6" i="7"/>
  <c r="F6" i="7" s="1"/>
  <c r="F4" i="7"/>
  <c r="F4" i="12"/>
  <c r="D6" i="12"/>
  <c r="F6" i="12" s="1"/>
  <c r="F4" i="1"/>
  <c r="E16" i="1"/>
  <c r="F16" i="1" s="1"/>
  <c r="D6" i="5"/>
  <c r="F6" i="5" s="1"/>
  <c r="F4" i="5"/>
  <c r="D6" i="6"/>
  <c r="F6" i="6" s="1"/>
  <c r="F4" i="6"/>
</calcChain>
</file>

<file path=xl/sharedStrings.xml><?xml version="1.0" encoding="utf-8"?>
<sst xmlns="http://schemas.openxmlformats.org/spreadsheetml/2006/main" count="232" uniqueCount="33">
  <si>
    <t>月分</t>
  </si>
  <si>
    <t>走行キロ(ｋｍ)</t>
  </si>
  <si>
    <t>台数</t>
  </si>
  <si>
    <t>支社名</t>
  </si>
  <si>
    <t>車輌番号</t>
  </si>
  <si>
    <t>延実在
車輌数</t>
  </si>
  <si>
    <t>延実働
車輌数</t>
  </si>
  <si>
    <t>稼働率</t>
  </si>
  <si>
    <t>搬送回数</t>
  </si>
  <si>
    <t>有料キロ数</t>
  </si>
  <si>
    <t>無料キロ数</t>
  </si>
  <si>
    <t>総走行ｋｍ</t>
  </si>
  <si>
    <t>運輸実績</t>
  </si>
  <si>
    <t>ＣＨ大月</t>
  </si>
  <si>
    <t>合　　　計</t>
  </si>
  <si>
    <t>№1</t>
  </si>
  <si>
    <t>ＣＨ富士吉田</t>
  </si>
  <si>
    <t>№2</t>
  </si>
  <si>
    <t>№7</t>
  </si>
  <si>
    <t>CH富士吉田</t>
  </si>
  <si>
    <t>№8</t>
  </si>
  <si>
    <t>№3</t>
  </si>
  <si>
    <t>CH大月</t>
  </si>
  <si>
    <t>№4</t>
  </si>
  <si>
    <t>№5</t>
  </si>
  <si>
    <t>ＣＨ東富士</t>
  </si>
  <si>
    <t>№6</t>
  </si>
  <si>
    <t>№10</t>
  </si>
  <si>
    <t>東日本セレモニー</t>
  </si>
  <si>
    <t>№11</t>
  </si>
  <si>
    <t>№12</t>
  </si>
  <si>
    <t>№13</t>
  </si>
  <si>
    <t>東日本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</si>
</sst>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¥&quot;#,##0_);[Red]\(&quot;¥&quot;#,##0\)"/>
    <numFmt numFmtId="177" formatCode="0.0%"/>
  </numFmts>
  <fonts count="5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9" fontId="1" fillId="0" borderId="0">
      <alignment vertical="center"/>
    </xf>
    <xf numFmtId="38" fontId="1" fillId="0" borderId="0">
      <alignment vertical="center"/>
    </xf>
    <xf numFmtId="176" fontId="1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centerContinuous" vertical="center"/>
    </xf>
    <xf numFmtId="0" fontId="2" fillId="2" borderId="6" xfId="0" applyFont="1" applyFill="1" applyBorder="1" applyAlignment="1">
      <alignment horizontal="centerContinuous" vertical="center"/>
    </xf>
    <xf numFmtId="176" fontId="2" fillId="0" borderId="0" xfId="3" applyFo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176" fontId="2" fillId="0" borderId="4" xfId="3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177" fontId="2" fillId="0" borderId="7" xfId="1" applyNumberFormat="1" applyFont="1" applyBorder="1">
      <alignment vertical="center"/>
    </xf>
    <xf numFmtId="38" fontId="2" fillId="0" borderId="7" xfId="0" applyNumberFormat="1" applyFont="1" applyBorder="1">
      <alignment vertical="center"/>
    </xf>
    <xf numFmtId="176" fontId="2" fillId="0" borderId="4" xfId="3" applyFont="1" applyBorder="1">
      <alignment vertical="center"/>
    </xf>
    <xf numFmtId="0" fontId="2" fillId="0" borderId="8" xfId="0" applyFont="1" applyBorder="1">
      <alignment vertical="center"/>
    </xf>
    <xf numFmtId="0" fontId="2" fillId="0" borderId="8" xfId="0" applyFont="1" applyBorder="1" applyAlignment="1">
      <alignment horizontal="center" vertical="center"/>
    </xf>
    <xf numFmtId="177" fontId="2" fillId="0" borderId="8" xfId="1" applyNumberFormat="1" applyFont="1" applyBorder="1">
      <alignment vertical="center"/>
    </xf>
    <xf numFmtId="38" fontId="2" fillId="0" borderId="8" xfId="0" applyNumberFormat="1" applyFont="1" applyBorder="1">
      <alignment vertical="center"/>
    </xf>
    <xf numFmtId="176" fontId="2" fillId="0" borderId="9" xfId="3" applyFont="1" applyBorder="1">
      <alignment vertical="center"/>
    </xf>
    <xf numFmtId="0" fontId="3" fillId="0" borderId="10" xfId="0" applyFont="1" applyBorder="1" applyAlignment="1">
      <alignment horizontal="centerContinuous" vertical="center"/>
    </xf>
    <xf numFmtId="0" fontId="3" fillId="0" borderId="11" xfId="0" applyFont="1" applyBorder="1" applyAlignment="1">
      <alignment horizontal="centerContinuous" vertical="center"/>
    </xf>
    <xf numFmtId="0" fontId="3" fillId="0" borderId="11" xfId="0" applyFont="1" applyBorder="1" applyAlignment="1">
      <alignment horizontal="center" vertical="center"/>
    </xf>
    <xf numFmtId="0" fontId="2" fillId="0" borderId="11" xfId="0" applyFont="1" applyBorder="1">
      <alignment vertical="center"/>
    </xf>
    <xf numFmtId="177" fontId="2" fillId="0" borderId="11" xfId="0" applyNumberFormat="1" applyFont="1" applyBorder="1">
      <alignment vertical="center"/>
    </xf>
    <xf numFmtId="38" fontId="2" fillId="0" borderId="11" xfId="2" applyFont="1" applyBorder="1">
      <alignment vertical="center"/>
    </xf>
    <xf numFmtId="176" fontId="2" fillId="0" borderId="12" xfId="3" applyFont="1" applyBorder="1">
      <alignment vertical="center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shrinkToFit="1"/>
    </xf>
    <xf numFmtId="176" fontId="2" fillId="0" borderId="14" xfId="3" applyFont="1" applyBorder="1" applyAlignment="1">
      <alignment horizontal="center" vertical="center"/>
    </xf>
    <xf numFmtId="9" fontId="2" fillId="0" borderId="7" xfId="1" applyFont="1" applyBorder="1">
      <alignment vertical="center"/>
    </xf>
    <xf numFmtId="1" fontId="2" fillId="0" borderId="7" xfId="0" applyNumberFormat="1" applyFont="1" applyBorder="1">
      <alignment vertical="center"/>
    </xf>
    <xf numFmtId="0" fontId="2" fillId="0" borderId="15" xfId="0" applyFont="1" applyBorder="1" applyAlignment="1">
      <alignment horizontal="center" vertical="center"/>
    </xf>
    <xf numFmtId="38" fontId="2" fillId="0" borderId="11" xfId="0" applyNumberFormat="1" applyFont="1" applyBorder="1">
      <alignment vertical="center"/>
    </xf>
    <xf numFmtId="9" fontId="2" fillId="0" borderId="17" xfId="1" applyFont="1" applyBorder="1">
      <alignment vertical="center"/>
    </xf>
    <xf numFmtId="9" fontId="2" fillId="0" borderId="16" xfId="1" applyFont="1" applyBorder="1">
      <alignment vertical="center"/>
    </xf>
    <xf numFmtId="0" fontId="2" fillId="0" borderId="11" xfId="2" applyNumberFormat="1" applyFont="1" applyBorder="1">
      <alignment vertical="center"/>
    </xf>
  </cellXfs>
  <cellStyles count="4">
    <cellStyle name="パーセント" xfId="1" builtinId="5"/>
    <cellStyle name="桁区切り" xfId="2" builtinId="6"/>
    <cellStyle name="通貨" xfId="3" builtinId="7"/>
    <cellStyle name="標準" xfId="0" builtinId="0"/>
  </cellStyles>
  <dxfs count="210"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&quot;¥&quot;#,##0_);[Red]\(&quot;¥&quot;#,##0\)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8" formatCode="#,##0_);[Red]\(#,##0\)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7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月間集計" displayName="月間集計" ref="A3:K16" totalsRowShown="0" headerRowDxfId="194" dataDxfId="192" headerRowBorderDxfId="193" tableBorderDxfId="191">
  <autoFilter ref="A3:K16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000-000001000000}" name="台数" dataDxfId="190"/>
    <tableColumn id="2" xr3:uid="{00000000-0010-0000-0000-000002000000}" name="支社名" dataDxfId="189"/>
    <tableColumn id="3" xr3:uid="{00000000-0010-0000-0000-000003000000}" name="車輌番号" dataDxfId="188"/>
    <tableColumn id="4" xr3:uid="{00000000-0010-0000-0000-000004000000}" name="延実在_x000a_車輌数" dataDxfId="187"/>
    <tableColumn id="5" xr3:uid="{00000000-0010-0000-0000-000005000000}" name="延実働_x000a_車輌数" dataDxfId="186"/>
    <tableColumn id="6" xr3:uid="{00000000-0010-0000-0000-000006000000}" name="稼働率" dataDxfId="185" dataCellStyle="パーセント">
      <calculatedColumnFormula>IFERROR(E4/D4,0)</calculatedColumnFormula>
    </tableColumn>
    <tableColumn id="7" xr3:uid="{00000000-0010-0000-0000-000007000000}" name="搬送回数" dataDxfId="184"/>
    <tableColumn id="8" xr3:uid="{00000000-0010-0000-0000-000008000000}" name="有料キロ数" dataDxfId="183"/>
    <tableColumn id="9" xr3:uid="{00000000-0010-0000-0000-000009000000}" name="無料キロ数" dataDxfId="182"/>
    <tableColumn id="10" xr3:uid="{00000000-0010-0000-0000-00000A000000}" name="総走行ｋｍ" dataDxfId="181"/>
    <tableColumn id="11" xr3:uid="{00000000-0010-0000-0000-00000B000000}" name="運輸実績" dataDxfId="180" dataCellStyle="通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寝台車_29" displayName="寝台車_29" ref="A3:K6" totalsRowShown="0" headerRowDxfId="179" dataDxfId="177" headerRowBorderDxfId="178" tableBorderDxfId="176">
  <autoFilter ref="A3:K6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100-000001000000}" name="台数" dataDxfId="175"/>
    <tableColumn id="2" xr3:uid="{00000000-0010-0000-0100-000002000000}" name="支社名" dataDxfId="174"/>
    <tableColumn id="3" xr3:uid="{00000000-0010-0000-0100-000003000000}" name="車輌番号" dataDxfId="173"/>
    <tableColumn id="4" xr3:uid="{00000000-0010-0000-0100-000004000000}" name="延実在_x000a_車輌数" dataDxfId="172"/>
    <tableColumn id="5" xr3:uid="{00000000-0010-0000-0100-000005000000}" name="延実働_x000a_車輌数" dataDxfId="171"/>
    <tableColumn id="6" xr3:uid="{00000000-0010-0000-0100-000006000000}" name="稼働率" dataDxfId="170" dataCellStyle="パーセント"/>
    <tableColumn id="7" xr3:uid="{00000000-0010-0000-0100-000007000000}" name="搬送回数" dataDxfId="169"/>
    <tableColumn id="8" xr3:uid="{00000000-0010-0000-0100-000008000000}" name="有料キロ数" dataDxfId="168"/>
    <tableColumn id="9" xr3:uid="{00000000-0010-0000-0100-000009000000}" name="無料キロ数" dataDxfId="167"/>
    <tableColumn id="10" xr3:uid="{00000000-0010-0000-0100-00000A000000}" name="総走行ｋｍ" dataDxfId="166"/>
    <tableColumn id="11" xr3:uid="{00000000-0010-0000-0100-00000B000000}" name="運輸実績" dataDxfId="1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寝台車_30" displayName="寝台車_30" ref="A3:K6" totalsRowShown="0" headerRowDxfId="164" dataDxfId="162" headerRowBorderDxfId="163" tableBorderDxfId="161">
  <autoFilter ref="A3:K6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200-000001000000}" name="台数" dataDxfId="160"/>
    <tableColumn id="2" xr3:uid="{00000000-0010-0000-0200-000002000000}" name="支社名" dataDxfId="159"/>
    <tableColumn id="3" xr3:uid="{00000000-0010-0000-0200-000003000000}" name="車輌番号" dataDxfId="158"/>
    <tableColumn id="4" xr3:uid="{00000000-0010-0000-0200-000004000000}" name="延実在_x000a_車輌数" dataDxfId="157"/>
    <tableColumn id="5" xr3:uid="{00000000-0010-0000-0200-000005000000}" name="延実働_x000a_車輌数" dataDxfId="156"/>
    <tableColumn id="6" xr3:uid="{00000000-0010-0000-0200-000006000000}" name="稼働率" dataDxfId="155" dataCellStyle="パーセント"/>
    <tableColumn id="7" xr3:uid="{00000000-0010-0000-0200-000007000000}" name="搬送回数" dataDxfId="154"/>
    <tableColumn id="8" xr3:uid="{00000000-0010-0000-0200-000008000000}" name="有料キロ数" dataDxfId="153"/>
    <tableColumn id="9" xr3:uid="{00000000-0010-0000-0200-000009000000}" name="無料キロ数" dataDxfId="152"/>
    <tableColumn id="10" xr3:uid="{00000000-0010-0000-0200-00000A000000}" name="総走行ｋｍ" dataDxfId="151"/>
    <tableColumn id="11" xr3:uid="{00000000-0010-0000-0200-00000B000000}" name="運輸実績" dataDxfId="1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霊柩車_40" displayName="霊柩車_40" ref="A3:K6" totalsRowShown="0" headerRowDxfId="149" dataDxfId="147" headerRowBorderDxfId="148" tableBorderDxfId="146">
  <autoFilter ref="A3:K6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300-000001000000}" name="台数" dataDxfId="145"/>
    <tableColumn id="2" xr3:uid="{00000000-0010-0000-0300-000002000000}" name="支社名" dataDxfId="144"/>
    <tableColumn id="3" xr3:uid="{00000000-0010-0000-0300-000003000000}" name="車輌番号" dataDxfId="143"/>
    <tableColumn id="4" xr3:uid="{00000000-0010-0000-0300-000004000000}" name="延実在_x000a_車輌数" dataDxfId="142"/>
    <tableColumn id="5" xr3:uid="{00000000-0010-0000-0300-000005000000}" name="延実働_x000a_車輌数" dataDxfId="141"/>
    <tableColumn id="6" xr3:uid="{00000000-0010-0000-0300-000006000000}" name="稼働率" dataDxfId="140" dataCellStyle="パーセント"/>
    <tableColumn id="7" xr3:uid="{00000000-0010-0000-0300-000007000000}" name="搬送回数" dataDxfId="139"/>
    <tableColumn id="8" xr3:uid="{00000000-0010-0000-0300-000008000000}" name="有料キロ数" dataDxfId="138"/>
    <tableColumn id="9" xr3:uid="{00000000-0010-0000-0300-000009000000}" name="無料キロ数" dataDxfId="137"/>
    <tableColumn id="10" xr3:uid="{00000000-0010-0000-0300-00000A000000}" name="総走行ｋｍ" dataDxfId="136"/>
    <tableColumn id="11" xr3:uid="{00000000-0010-0000-0300-00000B000000}" name="運輸実績" dataDxfId="1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霊柩車_223" displayName="霊柩車_223" ref="A3:K6" totalsRowShown="0" headerRowDxfId="134" dataDxfId="132" headerRowBorderDxfId="133" tableBorderDxfId="131">
  <autoFilter ref="A3:K6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400-000001000000}" name="台数" dataDxfId="130"/>
    <tableColumn id="2" xr3:uid="{00000000-0010-0000-0400-000002000000}" name="支社名" dataDxfId="129"/>
    <tableColumn id="3" xr3:uid="{00000000-0010-0000-0400-000003000000}" name="車輌番号" dataDxfId="128"/>
    <tableColumn id="4" xr3:uid="{00000000-0010-0000-0400-000004000000}" name="延実在_x000a_車輌数" dataDxfId="127"/>
    <tableColumn id="5" xr3:uid="{00000000-0010-0000-0400-000005000000}" name="延実働_x000a_車輌数" dataDxfId="126"/>
    <tableColumn id="6" xr3:uid="{00000000-0010-0000-0400-000006000000}" name="稼働率" dataDxfId="125" dataCellStyle="パーセント"/>
    <tableColumn id="7" xr3:uid="{00000000-0010-0000-0400-000007000000}" name="搬送回数" dataDxfId="124"/>
    <tableColumn id="8" xr3:uid="{00000000-0010-0000-0400-000008000000}" name="有料キロ数" dataDxfId="123"/>
    <tableColumn id="9" xr3:uid="{00000000-0010-0000-0400-000009000000}" name="無料キロ数" dataDxfId="122"/>
    <tableColumn id="10" xr3:uid="{00000000-0010-0000-0400-00000A000000}" name="総走行ｋｍ" dataDxfId="121"/>
    <tableColumn id="11" xr3:uid="{00000000-0010-0000-0400-00000B000000}" name="運輸実績" dataDxfId="1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大月_寝台車_1603" displayName="大月_寝台車_1603" ref="A3:K6" totalsRowShown="0" headerRowDxfId="209" dataDxfId="207" headerRowBorderDxfId="208" tableBorderDxfId="206">
  <autoFilter ref="A3:K6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500-000001000000}" name="台数" dataDxfId="205"/>
    <tableColumn id="2" xr3:uid="{00000000-0010-0000-0500-000002000000}" name="支社名" dataDxfId="204"/>
    <tableColumn id="3" xr3:uid="{00000000-0010-0000-0500-000003000000}" name="車輌番号" dataDxfId="203"/>
    <tableColumn id="4" xr3:uid="{00000000-0010-0000-0500-000004000000}" name="延実在_x000a_車輌数" dataDxfId="202"/>
    <tableColumn id="5" xr3:uid="{00000000-0010-0000-0500-000005000000}" name="延実働_x000a_車輌数" dataDxfId="201"/>
    <tableColumn id="6" xr3:uid="{00000000-0010-0000-0500-000006000000}" name="稼働率" dataDxfId="200" dataCellStyle="パーセント"/>
    <tableColumn id="7" xr3:uid="{00000000-0010-0000-0500-000007000000}" name="搬送回数" dataDxfId="199"/>
    <tableColumn id="8" xr3:uid="{00000000-0010-0000-0500-000008000000}" name="有料キロ数" dataDxfId="198"/>
    <tableColumn id="9" xr3:uid="{00000000-0010-0000-0500-000009000000}" name="無料キロ数" dataDxfId="197"/>
    <tableColumn id="10" xr3:uid="{00000000-0010-0000-0500-00000A000000}" name="総走行ｋｍ" dataDxfId="196"/>
    <tableColumn id="11" xr3:uid="{00000000-0010-0000-0500-00000B000000}" name="運輸実績" dataDxfId="1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大月_寝台車_160316" displayName="大月_寝台車_160316" ref="A3:K6" totalsRowShown="0" headerRowDxfId="119" dataDxfId="117" headerRowBorderDxfId="118" tableBorderDxfId="116">
  <autoFilter ref="A3:K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600-000001000000}" name="台数" dataDxfId="115"/>
    <tableColumn id="2" xr3:uid="{00000000-0010-0000-0600-000002000000}" name="支社名" dataDxfId="114"/>
    <tableColumn id="3" xr3:uid="{00000000-0010-0000-0600-000003000000}" name="車輌番号" dataDxfId="113"/>
    <tableColumn id="4" xr3:uid="{00000000-0010-0000-0600-000004000000}" name="延実在_x000a_車輌数" dataDxfId="112"/>
    <tableColumn id="5" xr3:uid="{00000000-0010-0000-0600-000005000000}" name="延実働_x000a_車輌数" dataDxfId="111"/>
    <tableColumn id="6" xr3:uid="{00000000-0010-0000-0600-000006000000}" name="稼働率" dataDxfId="110" dataCellStyle="パーセント"/>
    <tableColumn id="7" xr3:uid="{00000000-0010-0000-0600-000007000000}" name="搬送回数" dataDxfId="109"/>
    <tableColumn id="8" xr3:uid="{00000000-0010-0000-0600-000008000000}" name="有料キロ数" dataDxfId="108"/>
    <tableColumn id="9" xr3:uid="{00000000-0010-0000-0600-000009000000}" name="無料キロ数" dataDxfId="107"/>
    <tableColumn id="10" xr3:uid="{00000000-0010-0000-0600-00000A000000}" name="総走行ｋｍ" dataDxfId="106"/>
    <tableColumn id="11" xr3:uid="{00000000-0010-0000-0600-00000B000000}" name="運輸実績" dataDxfId="10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H東富士_霊柩_1381" displayName="CH東富士_霊柩_1381" ref="A3:K6" totalsRowShown="0" headerRowDxfId="104" dataDxfId="102" headerRowBorderDxfId="103" tableBorderDxfId="101">
  <autoFilter ref="A3:K6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700-000001000000}" name="台数" dataDxfId="100"/>
    <tableColumn id="2" xr3:uid="{00000000-0010-0000-0700-000002000000}" name="支社名" dataDxfId="99"/>
    <tableColumn id="3" xr3:uid="{00000000-0010-0000-0700-000003000000}" name="車輌番号" dataDxfId="98"/>
    <tableColumn id="4" xr3:uid="{00000000-0010-0000-0700-000004000000}" name="延実在_x000a_車輌数" dataDxfId="97"/>
    <tableColumn id="5" xr3:uid="{00000000-0010-0000-0700-000005000000}" name="延実働_x000a_車輌数" dataDxfId="96"/>
    <tableColumn id="6" xr3:uid="{00000000-0010-0000-0700-000006000000}" name="稼働率" dataDxfId="95" dataCellStyle="パーセント"/>
    <tableColumn id="7" xr3:uid="{00000000-0010-0000-0700-000007000000}" name="搬送回数" dataDxfId="94"/>
    <tableColumn id="8" xr3:uid="{00000000-0010-0000-0700-000008000000}" name="有料キロ数" dataDxfId="93"/>
    <tableColumn id="9" xr3:uid="{00000000-0010-0000-0700-000009000000}" name="無料キロ数" dataDxfId="92"/>
    <tableColumn id="10" xr3:uid="{00000000-0010-0000-0700-00000A000000}" name="総走行ｋｍ" dataDxfId="91"/>
    <tableColumn id="11" xr3:uid="{00000000-0010-0000-0700-00000B000000}" name="運輸実績" dataDxfId="9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H東富士_1105" displayName="CH東富士_1105" ref="A3:K6" totalsRowShown="0" headerRowDxfId="89" dataDxfId="87" headerRowBorderDxfId="88" tableBorderDxfId="86">
  <autoFilter ref="A3:K6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800-000001000000}" name="台数" dataDxfId="85"/>
    <tableColumn id="2" xr3:uid="{00000000-0010-0000-0800-000002000000}" name="支社名" dataDxfId="84"/>
    <tableColumn id="3" xr3:uid="{00000000-0010-0000-0800-000003000000}" name="車輌番号" dataDxfId="83"/>
    <tableColumn id="4" xr3:uid="{00000000-0010-0000-0800-000004000000}" name="延実在_x000a_車輌数" dataDxfId="82"/>
    <tableColumn id="5" xr3:uid="{00000000-0010-0000-0800-000005000000}" name="延実働_x000a_車輌数" dataDxfId="81"/>
    <tableColumn id="6" xr3:uid="{00000000-0010-0000-0800-000006000000}" name="稼働率" dataDxfId="80" dataCellStyle="パーセント"/>
    <tableColumn id="7" xr3:uid="{00000000-0010-0000-0800-000007000000}" name="搬送回数" dataDxfId="79"/>
    <tableColumn id="8" xr3:uid="{00000000-0010-0000-0800-000008000000}" name="有料キロ数" dataDxfId="78"/>
    <tableColumn id="9" xr3:uid="{00000000-0010-0000-0800-000009000000}" name="無料キロ数" dataDxfId="77"/>
    <tableColumn id="10" xr3:uid="{00000000-0010-0000-0800-00000A000000}" name="総走行ｋｍ" dataDxfId="76"/>
    <tableColumn id="11" xr3:uid="{00000000-0010-0000-0800-00000B000000}" name="運輸実績" dataDxfId="7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東日本セレモニー_1961" displayName="東日本セレモニー_1961" ref="A3:K6" totalsRowShown="0" headerRowDxfId="74" dataDxfId="72" headerRowBorderDxfId="73" tableBorderDxfId="71">
  <autoFilter ref="A3:K6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900-000001000000}" name="台数" dataDxfId="70"/>
    <tableColumn id="2" xr3:uid="{00000000-0010-0000-0900-000002000000}" name="支社名" dataDxfId="69"/>
    <tableColumn id="3" xr3:uid="{00000000-0010-0000-0900-000003000000}" name="車輌番号" dataDxfId="68"/>
    <tableColumn id="4" xr3:uid="{00000000-0010-0000-0900-000004000000}" name="延実在_x000a_車輌数" dataDxfId="67"/>
    <tableColumn id="5" xr3:uid="{00000000-0010-0000-0900-000005000000}" name="延実働_x000a_車輌数" dataDxfId="66"/>
    <tableColumn id="6" xr3:uid="{00000000-0010-0000-0900-000006000000}" name="稼働率" dataDxfId="65" dataCellStyle="パーセント"/>
    <tableColumn id="7" xr3:uid="{00000000-0010-0000-0900-000007000000}" name="搬送回数" dataDxfId="64"/>
    <tableColumn id="8" xr3:uid="{00000000-0010-0000-0900-000008000000}" name="有料キロ数" dataDxfId="63"/>
    <tableColumn id="9" xr3:uid="{00000000-0010-0000-0900-000009000000}" name="無料キロ数" dataDxfId="62"/>
    <tableColumn id="10" xr3:uid="{00000000-0010-0000-0900-00000A000000}" name="総走行ｋｍ" dataDxfId="61"/>
    <tableColumn id="11" xr3:uid="{00000000-0010-0000-0900-00000B000000}" name="運輸実績" dataDxfId="6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東日本セレモニー_2259" displayName="東日本セレモニー_2259" ref="A3:K6" totalsRowShown="0" headerRowDxfId="59" dataDxfId="57" headerRowBorderDxfId="58" tableBorderDxfId="56">
  <autoFilter ref="A3:K6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A00-000001000000}" name="台数" dataDxfId="55"/>
    <tableColumn id="2" xr3:uid="{00000000-0010-0000-0A00-000002000000}" name="支社名" dataDxfId="54"/>
    <tableColumn id="3" xr3:uid="{00000000-0010-0000-0A00-000003000000}" name="車輌番号" dataDxfId="53"/>
    <tableColumn id="4" xr3:uid="{00000000-0010-0000-0A00-000004000000}" name="延実在_x000a_車輌数" dataDxfId="52"/>
    <tableColumn id="5" xr3:uid="{00000000-0010-0000-0A00-000005000000}" name="延実働_x000a_車輌数" dataDxfId="51"/>
    <tableColumn id="6" xr3:uid="{00000000-0010-0000-0A00-000006000000}" name="稼働率" dataDxfId="50" dataCellStyle="パーセント"/>
    <tableColumn id="7" xr3:uid="{00000000-0010-0000-0A00-000007000000}" name="搬送回数" dataDxfId="49"/>
    <tableColumn id="8" xr3:uid="{00000000-0010-0000-0A00-000008000000}" name="有料キロ数" dataDxfId="48"/>
    <tableColumn id="9" xr3:uid="{00000000-0010-0000-0A00-000009000000}" name="無料キロ数" dataDxfId="47"/>
    <tableColumn id="10" xr3:uid="{00000000-0010-0000-0A00-00000A000000}" name="総走行ｋｍ" dataDxfId="46"/>
    <tableColumn id="11" xr3:uid="{00000000-0010-0000-0A00-00000B000000}" name="運輸実績" dataDxfId="4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東日本セレモニー_2262" displayName="東日本セレモニー_2262" ref="A3:K6" totalsRowShown="0" headerRowDxfId="44" dataDxfId="42" headerRowBorderDxfId="43" tableBorderDxfId="41">
  <autoFilter ref="A3:K6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B00-000001000000}" name="台数" dataDxfId="40"/>
    <tableColumn id="2" xr3:uid="{00000000-0010-0000-0B00-000002000000}" name="支社名" dataDxfId="39"/>
    <tableColumn id="3" xr3:uid="{00000000-0010-0000-0B00-000003000000}" name="車輌番号" dataDxfId="38"/>
    <tableColumn id="4" xr3:uid="{00000000-0010-0000-0B00-000004000000}" name="延実在_x000a_車輌数" dataDxfId="37"/>
    <tableColumn id="5" xr3:uid="{00000000-0010-0000-0B00-000005000000}" name="延実働_x000a_車輌数" dataDxfId="36"/>
    <tableColumn id="6" xr3:uid="{00000000-0010-0000-0B00-000006000000}" name="稼働率" dataDxfId="35" dataCellStyle="パーセント"/>
    <tableColumn id="7" xr3:uid="{00000000-0010-0000-0B00-000007000000}" name="搬送回数" dataDxfId="34"/>
    <tableColumn id="8" xr3:uid="{00000000-0010-0000-0B00-000008000000}" name="有料キロ数" dataDxfId="33"/>
    <tableColumn id="9" xr3:uid="{00000000-0010-0000-0B00-000009000000}" name="無料キロ数" dataDxfId="32"/>
    <tableColumn id="10" xr3:uid="{00000000-0010-0000-0B00-00000A000000}" name="総走行ｋｍ" dataDxfId="31"/>
    <tableColumn id="11" xr3:uid="{00000000-0010-0000-0B00-00000B000000}" name="運輸実績" dataDxfId="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東日本セレモニー_2380" displayName="東日本セレモニー_2380" ref="A3:K6" totalsRowShown="0" headerRowDxfId="29" dataDxfId="27" headerRowBorderDxfId="28" tableBorderDxfId="26">
  <autoFilter ref="A3:K6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C00-000001000000}" name="台数" dataDxfId="25"/>
    <tableColumn id="2" xr3:uid="{00000000-0010-0000-0C00-000002000000}" name="支社名" dataDxfId="24"/>
    <tableColumn id="3" xr3:uid="{00000000-0010-0000-0C00-000003000000}" name="車輌番号" dataDxfId="23"/>
    <tableColumn id="4" xr3:uid="{00000000-0010-0000-0C00-000004000000}" name="延実在_x000a_車輌数" dataDxfId="22"/>
    <tableColumn id="5" xr3:uid="{00000000-0010-0000-0C00-000005000000}" name="延実働_x000a_車輌数" dataDxfId="21"/>
    <tableColumn id="6" xr3:uid="{00000000-0010-0000-0C00-000006000000}" name="稼働率" dataDxfId="20" dataCellStyle="パーセント"/>
    <tableColumn id="7" xr3:uid="{00000000-0010-0000-0C00-000007000000}" name="搬送回数" dataDxfId="19"/>
    <tableColumn id="8" xr3:uid="{00000000-0010-0000-0C00-000008000000}" name="有料キロ数" dataDxfId="18"/>
    <tableColumn id="9" xr3:uid="{00000000-0010-0000-0C00-000009000000}" name="無料キロ数" dataDxfId="17"/>
    <tableColumn id="10" xr3:uid="{00000000-0010-0000-0C00-00000A000000}" name="総走行ｋｍ" dataDxfId="16"/>
    <tableColumn id="11" xr3:uid="{00000000-0010-0000-0C00-00000B000000}" name="運輸実績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emplate" displayName="Template" ref="A3:K6" totalsRowShown="0" headerRowDxfId="14" dataDxfId="12" headerRowBorderDxfId="13" tableBorderDxfId="11">
  <autoFilter ref="A3:K6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D00-000001000000}" name="台数" dataDxfId="10"/>
    <tableColumn id="2" xr3:uid="{00000000-0010-0000-0D00-000002000000}" name="支社名" dataDxfId="9"/>
    <tableColumn id="3" xr3:uid="{00000000-0010-0000-0D00-000003000000}" name="車輌番号" dataDxfId="8"/>
    <tableColumn id="4" xr3:uid="{00000000-0010-0000-0D00-000004000000}" name="延実在_x000a_車輌数" dataDxfId="7"/>
    <tableColumn id="5" xr3:uid="{00000000-0010-0000-0D00-000005000000}" name="延実働_x000a_車輌数" dataDxfId="6"/>
    <tableColumn id="6" xr3:uid="{00000000-0010-0000-0D00-000006000000}" name="稼働率" dataDxfId="5" dataCellStyle="パーセント"/>
    <tableColumn id="7" xr3:uid="{00000000-0010-0000-0D00-000007000000}" name="搬送回数" dataDxfId="4"/>
    <tableColumn id="8" xr3:uid="{00000000-0010-0000-0D00-000008000000}" name="有料キロ数" dataDxfId="3"/>
    <tableColumn id="9" xr3:uid="{00000000-0010-0000-0D00-000009000000}" name="無料キロ数" dataDxfId="2"/>
    <tableColumn id="10" xr3:uid="{00000000-0010-0000-0D00-00000A000000}" name="総走行ｋｍ" dataDxfId="1"/>
    <tableColumn id="11" xr3:uid="{00000000-0010-0000-0D00-00000B000000}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1">
    <tabColor theme="7" tint="-0.249977111117893"/>
  </sheetPr>
  <dimension ref="A1:K16"/>
  <sheetViews>
    <sheetView tabSelected="1" workbookViewId="0">
      <selection activeCell="D1" sqref="D1"/>
    </sheetView>
  </sheetViews>
  <sheetFormatPr defaultRowHeight="17.25" x14ac:dyDescent="0.15"/>
  <cols>
    <col min="1" max="1" width="6.125" style="4" customWidth="1"/>
    <col min="2" max="2" width="20.375" style="4" bestFit="1" customWidth="1"/>
    <col min="3" max="3" width="12.75" style="4" customWidth="1"/>
    <col min="4" max="4" width="10.625" style="4" customWidth="1"/>
    <col min="5" max="5" width="12.5" style="4" customWidth="1"/>
    <col min="6" max="6" width="11" style="4" customWidth="1"/>
    <col min="7" max="7" width="13.25" style="4" customWidth="1"/>
    <col min="8" max="8" width="11.125" style="4" customWidth="1"/>
    <col min="9" max="9" width="12.5" style="4" customWidth="1"/>
    <col min="10" max="10" width="14.125" style="4" customWidth="1"/>
    <col min="11" max="11" width="16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29" t="s">
        <v>2</v>
      </c>
      <c r="B3" s="29" t="s">
        <v>3</v>
      </c>
      <c r="C3" s="29" t="s">
        <v>4</v>
      </c>
      <c r="D3" s="30" t="s">
        <v>5</v>
      </c>
      <c r="E3" s="30" t="s">
        <v>6</v>
      </c>
      <c r="F3" s="29" t="s">
        <v>7</v>
      </c>
      <c r="G3" s="29" t="s">
        <v>8</v>
      </c>
      <c r="H3" s="31" t="s">
        <v>9</v>
      </c>
      <c r="I3" s="31" t="s">
        <v>10</v>
      </c>
      <c r="J3" s="29" t="s">
        <v>11</v>
      </c>
      <c r="K3" s="32" t="s">
        <v>12</v>
      </c>
    </row>
    <row r="4" spans="1:11" x14ac:dyDescent="0.15">
      <c r="A4" s="13" t="s">
        <v>15</v>
      </c>
      <c r="B4" s="10" t="s">
        <v>16</v>
      </c>
      <c r="C4" s="10">
        <v>29</v>
      </c>
      <c r="D4" s="13" t="e">
        <f>'CH富士吉田 寝台車 29'!D6</f>
        <v>#VALUE!</v>
      </c>
      <c r="E4" s="13">
        <f>'CH富士吉田 寝台車 29'!$E$6</f>
        <v>0</v>
      </c>
      <c r="F4" s="33">
        <f t="shared" ref="F4:F16" si="0">IFERROR(E4/D4,0)</f>
        <v>0</v>
      </c>
      <c r="G4" s="13">
        <f>'CH富士吉田 寝台車 29'!G6</f>
        <v>0</v>
      </c>
      <c r="H4" s="34">
        <f>'CH富士吉田 寝台車 29'!$H$6</f>
        <v>0</v>
      </c>
      <c r="I4" s="34">
        <f>'CH富士吉田 寝台車 29'!$I$6</f>
        <v>0</v>
      </c>
      <c r="J4" s="15">
        <f t="shared" ref="J4:J15" si="1">SUM(H4:I4)</f>
        <v>0</v>
      </c>
      <c r="K4" s="16">
        <f>'CH富士吉田 寝台車 29'!K6</f>
        <v>0</v>
      </c>
    </row>
    <row r="5" spans="1:11" x14ac:dyDescent="0.15">
      <c r="A5" s="13" t="s">
        <v>17</v>
      </c>
      <c r="B5" s="10" t="s">
        <v>16</v>
      </c>
      <c r="C5" s="10">
        <v>30</v>
      </c>
      <c r="D5" s="13" t="e">
        <f t="shared" ref="D5:D15" si="2">$D$4</f>
        <v>#VALUE!</v>
      </c>
      <c r="E5" s="13">
        <f>'CH富士吉田 寝台車 30'!$E$6</f>
        <v>0</v>
      </c>
      <c r="F5" s="33">
        <f t="shared" si="0"/>
        <v>0</v>
      </c>
      <c r="G5" s="13">
        <f>'CH富士吉田 寝台車 30'!G6</f>
        <v>0</v>
      </c>
      <c r="H5" s="34">
        <f>'CH富士吉田 寝台車 30'!H6</f>
        <v>0</v>
      </c>
      <c r="I5" s="34">
        <f>'CH富士吉田 寝台車 30'!I6</f>
        <v>0</v>
      </c>
      <c r="J5" s="15">
        <f t="shared" si="1"/>
        <v>0</v>
      </c>
      <c r="K5" s="16">
        <f>'CH富士吉田 寝台車 30'!K6</f>
        <v>0</v>
      </c>
    </row>
    <row r="6" spans="1:11" x14ac:dyDescent="0.15">
      <c r="A6" s="13" t="s">
        <v>18</v>
      </c>
      <c r="B6" s="10" t="s">
        <v>19</v>
      </c>
      <c r="C6" s="10">
        <v>40</v>
      </c>
      <c r="D6" s="13" t="e">
        <f t="shared" si="2"/>
        <v>#VALUE!</v>
      </c>
      <c r="E6" s="13">
        <f>'CH富士吉田 霊柩車 40'!E6</f>
        <v>0</v>
      </c>
      <c r="F6" s="33">
        <f t="shared" si="0"/>
        <v>0</v>
      </c>
      <c r="G6" s="13">
        <f>'CH富士吉田 霊柩車 40'!G6</f>
        <v>0</v>
      </c>
      <c r="H6" s="34">
        <f>'CH富士吉田 霊柩車 40'!H6</f>
        <v>0</v>
      </c>
      <c r="I6" s="34">
        <f>'CH富士吉田 霊柩車 40'!I6</f>
        <v>0</v>
      </c>
      <c r="J6" s="15">
        <f t="shared" si="1"/>
        <v>0</v>
      </c>
      <c r="K6" s="16">
        <f>'CH富士吉田 霊柩車 40'!K6</f>
        <v>0</v>
      </c>
    </row>
    <row r="7" spans="1:11" x14ac:dyDescent="0.15">
      <c r="A7" s="13" t="s">
        <v>20</v>
      </c>
      <c r="B7" s="10" t="s">
        <v>19</v>
      </c>
      <c r="C7" s="10">
        <v>223</v>
      </c>
      <c r="D7" s="13" t="e">
        <f t="shared" si="2"/>
        <v>#VALUE!</v>
      </c>
      <c r="E7" s="13">
        <f>'CH富士吉田 霊柩車 223'!E6</f>
        <v>0</v>
      </c>
      <c r="F7" s="33">
        <f t="shared" si="0"/>
        <v>0</v>
      </c>
      <c r="G7" s="13">
        <f>'CH富士吉田 霊柩車 223'!G6</f>
        <v>0</v>
      </c>
      <c r="H7" s="34">
        <f>'CH富士吉田 霊柩車 223'!H6</f>
        <v>0</v>
      </c>
      <c r="I7" s="34">
        <f>'CH富士吉田 霊柩車 223'!I6</f>
        <v>0</v>
      </c>
      <c r="J7" s="15">
        <f t="shared" si="1"/>
        <v>0</v>
      </c>
      <c r="K7" s="16">
        <f>'CH富士吉田 霊柩車 223'!K6</f>
        <v>0</v>
      </c>
    </row>
    <row r="8" spans="1:11" x14ac:dyDescent="0.15">
      <c r="A8" s="13" t="s">
        <v>21</v>
      </c>
      <c r="B8" s="10" t="s">
        <v>22</v>
      </c>
      <c r="C8" s="10">
        <v>1603</v>
      </c>
      <c r="D8" s="13" t="e">
        <f t="shared" si="2"/>
        <v>#VALUE!</v>
      </c>
      <c r="E8" s="13">
        <f>'CH大月 寝台車 1603'!E6</f>
        <v>0</v>
      </c>
      <c r="F8" s="33">
        <f t="shared" si="0"/>
        <v>0</v>
      </c>
      <c r="G8" s="13">
        <f>'CH大月 寝台車 1603'!G6</f>
        <v>0</v>
      </c>
      <c r="H8" s="34">
        <f>'CH大月 寝台車 1603'!H6</f>
        <v>0</v>
      </c>
      <c r="I8" s="34">
        <f>'CH大月 寝台車 1603'!I6</f>
        <v>0</v>
      </c>
      <c r="J8" s="15">
        <f t="shared" si="1"/>
        <v>0</v>
      </c>
      <c r="K8" s="16">
        <f>'CH大月 寝台車 1603'!K6</f>
        <v>0</v>
      </c>
    </row>
    <row r="9" spans="1:11" x14ac:dyDescent="0.15">
      <c r="A9" s="13" t="s">
        <v>23</v>
      </c>
      <c r="B9" s="10" t="s">
        <v>22</v>
      </c>
      <c r="C9" s="10">
        <v>2577</v>
      </c>
      <c r="D9" s="13" t="e">
        <f t="shared" si="2"/>
        <v>#VALUE!</v>
      </c>
      <c r="E9" s="13">
        <f>'CH大月 霊柩車 2577'!E6</f>
        <v>0</v>
      </c>
      <c r="F9" s="33">
        <f t="shared" si="0"/>
        <v>0</v>
      </c>
      <c r="G9" s="13">
        <f>'CH大月 霊柩車 2577'!G6</f>
        <v>0</v>
      </c>
      <c r="H9" s="13">
        <f>'CH大月 霊柩車 2577'!H6</f>
        <v>0</v>
      </c>
      <c r="I9" s="13">
        <f>'CH大月 霊柩車 2577'!I6</f>
        <v>0</v>
      </c>
      <c r="J9" s="15">
        <f t="shared" si="1"/>
        <v>0</v>
      </c>
      <c r="K9" s="16">
        <f>'CH大月 霊柩車 2577'!K6</f>
        <v>0</v>
      </c>
    </row>
    <row r="10" spans="1:11" x14ac:dyDescent="0.15">
      <c r="A10" s="13" t="s">
        <v>24</v>
      </c>
      <c r="B10" s="10" t="s">
        <v>25</v>
      </c>
      <c r="C10" s="10">
        <v>1105</v>
      </c>
      <c r="D10" s="13" t="e">
        <f t="shared" si="2"/>
        <v>#VALUE!</v>
      </c>
      <c r="E10" s="13">
        <f>'CH東富士 寝台車 1508'!E6</f>
        <v>0</v>
      </c>
      <c r="F10" s="33">
        <f t="shared" si="0"/>
        <v>0</v>
      </c>
      <c r="G10" s="13">
        <f>'CH東富士 寝台車 1508'!G6</f>
        <v>0</v>
      </c>
      <c r="H10" s="34">
        <f>'CH東富士 寝台車 1508'!H6</f>
        <v>0</v>
      </c>
      <c r="I10" s="34">
        <f>'CH東富士 寝台車 1508'!I6</f>
        <v>0</v>
      </c>
      <c r="J10" s="15">
        <f t="shared" si="1"/>
        <v>0</v>
      </c>
      <c r="K10" s="16">
        <f>'CH東富士 寝台車 1508'!K6</f>
        <v>0</v>
      </c>
    </row>
    <row r="11" spans="1:11" x14ac:dyDescent="0.15">
      <c r="A11" s="13" t="s">
        <v>26</v>
      </c>
      <c r="B11" s="10" t="s">
        <v>25</v>
      </c>
      <c r="C11" s="10">
        <v>1381</v>
      </c>
      <c r="D11" s="13" t="e">
        <f t="shared" si="2"/>
        <v>#VALUE!</v>
      </c>
      <c r="E11" s="13">
        <f>'CH東富士 霊柩車 1381'!E6</f>
        <v>0</v>
      </c>
      <c r="F11" s="33">
        <f t="shared" si="0"/>
        <v>0</v>
      </c>
      <c r="G11" s="13">
        <f>'CH東富士 霊柩車 1381'!G6</f>
        <v>0</v>
      </c>
      <c r="H11" s="34">
        <f>'CH東富士 霊柩車 1381'!H6</f>
        <v>0</v>
      </c>
      <c r="I11" s="34">
        <f>'CH東富士 霊柩車 1381'!I6</f>
        <v>0</v>
      </c>
      <c r="J11" s="15">
        <f t="shared" si="1"/>
        <v>0</v>
      </c>
      <c r="K11" s="16">
        <f>'CH東富士 霊柩車 1381'!K6</f>
        <v>0</v>
      </c>
    </row>
    <row r="12" spans="1:11" x14ac:dyDescent="0.15">
      <c r="A12" s="13" t="s">
        <v>27</v>
      </c>
      <c r="B12" s="10" t="s">
        <v>28</v>
      </c>
      <c r="C12" s="10">
        <v>1961</v>
      </c>
      <c r="D12" s="13" t="e">
        <f t="shared" si="2"/>
        <v>#VALUE!</v>
      </c>
      <c r="E12" s="13">
        <f>'東日本セレモニー 1961'!E6</f>
        <v>0</v>
      </c>
      <c r="F12" s="33">
        <f t="shared" si="0"/>
        <v>0</v>
      </c>
      <c r="G12" s="13">
        <f>'東日本セレモニー 1961'!G6</f>
        <v>0</v>
      </c>
      <c r="H12" s="34">
        <f>'東日本セレモニー 1961'!H6</f>
        <v>0</v>
      </c>
      <c r="I12" s="34">
        <f>'東日本セレモニー 1961'!I6</f>
        <v>0</v>
      </c>
      <c r="J12" s="15">
        <f t="shared" si="1"/>
        <v>0</v>
      </c>
      <c r="K12" s="16">
        <f>'東日本セレモニー 1961'!K6</f>
        <v>0</v>
      </c>
    </row>
    <row r="13" spans="1:11" x14ac:dyDescent="0.15">
      <c r="A13" s="13" t="s">
        <v>29</v>
      </c>
      <c r="B13" s="10" t="s">
        <v>28</v>
      </c>
      <c r="C13" s="10">
        <v>2259</v>
      </c>
      <c r="D13" s="13" t="e">
        <f t="shared" si="2"/>
        <v>#VALUE!</v>
      </c>
      <c r="E13" s="13">
        <f>'東日本セレモニー 2259'!E6</f>
        <v>0</v>
      </c>
      <c r="F13" s="33">
        <f t="shared" si="0"/>
        <v>0</v>
      </c>
      <c r="G13" s="13">
        <f>'東日本セレモニー 2259'!G6</f>
        <v>0</v>
      </c>
      <c r="H13" s="34">
        <f>'東日本セレモニー 2259'!H6</f>
        <v>0</v>
      </c>
      <c r="I13" s="34">
        <f>'東日本セレモニー 2259'!I6</f>
        <v>0</v>
      </c>
      <c r="J13" s="15">
        <f t="shared" si="1"/>
        <v>0</v>
      </c>
      <c r="K13" s="16">
        <f>'東日本セレモニー 2259'!K6</f>
        <v>0</v>
      </c>
    </row>
    <row r="14" spans="1:11" x14ac:dyDescent="0.15">
      <c r="A14" s="13" t="s">
        <v>30</v>
      </c>
      <c r="B14" s="10" t="s">
        <v>28</v>
      </c>
      <c r="C14" s="10">
        <v>2262</v>
      </c>
      <c r="D14" s="13" t="e">
        <f t="shared" si="2"/>
        <v>#VALUE!</v>
      </c>
      <c r="E14" s="13">
        <f>'東日本セレモニー 2262'!E6</f>
        <v>0</v>
      </c>
      <c r="F14" s="33">
        <f t="shared" si="0"/>
        <v>0</v>
      </c>
      <c r="G14" s="13">
        <f>'東日本セレモニー 2262'!G6</f>
        <v>0</v>
      </c>
      <c r="H14" s="34">
        <f>'東日本セレモニー 2262'!H6</f>
        <v>0</v>
      </c>
      <c r="I14" s="34">
        <f>'東日本セレモニー 2262'!I6</f>
        <v>0</v>
      </c>
      <c r="J14" s="15">
        <f t="shared" si="1"/>
        <v>0</v>
      </c>
      <c r="K14" s="16">
        <f>'東日本セレモニー 2262'!K6</f>
        <v>0</v>
      </c>
    </row>
    <row r="15" spans="1:11" x14ac:dyDescent="0.15">
      <c r="A15" s="13" t="s">
        <v>31</v>
      </c>
      <c r="B15" s="10" t="s">
        <v>28</v>
      </c>
      <c r="C15" s="35">
        <v>2380</v>
      </c>
      <c r="D15" s="13" t="e">
        <f t="shared" si="2"/>
        <v>#VALUE!</v>
      </c>
      <c r="E15" s="13">
        <f>'東日本セレモニー 2380'!E6</f>
        <v>0</v>
      </c>
      <c r="F15" s="37">
        <f t="shared" si="0"/>
        <v>0</v>
      </c>
      <c r="G15" s="13">
        <f>'東日本セレモニー 2380'!G6</f>
        <v>0</v>
      </c>
      <c r="H15" s="34">
        <f>'東日本セレモニー 2380'!H6</f>
        <v>0</v>
      </c>
      <c r="I15" s="34">
        <f>'東日本セレモニー 2380'!I6</f>
        <v>0</v>
      </c>
      <c r="J15" s="15">
        <f t="shared" si="1"/>
        <v>0</v>
      </c>
      <c r="K15" s="16">
        <f>'東日本セレモニー 2380'!K6</f>
        <v>0</v>
      </c>
    </row>
    <row r="16" spans="1:11" ht="24" customHeight="1" x14ac:dyDescent="0.15">
      <c r="A16" s="22" t="s">
        <v>14</v>
      </c>
      <c r="B16" s="23"/>
      <c r="C16" s="24"/>
      <c r="D16" s="25" t="e">
        <f>SUM(D4:D15)</f>
        <v>#VALUE!</v>
      </c>
      <c r="E16" s="25">
        <f>SUM(E4:E15)</f>
        <v>0</v>
      </c>
      <c r="F16" s="38">
        <f t="shared" si="0"/>
        <v>0</v>
      </c>
      <c r="G16" s="25">
        <f>SUM(G4:G15)</f>
        <v>0</v>
      </c>
      <c r="H16" s="36">
        <f>SUM(H4:H15)</f>
        <v>0</v>
      </c>
      <c r="I16" s="36">
        <f>SUM(I4:I15)</f>
        <v>0</v>
      </c>
      <c r="J16" s="27">
        <f>SUM(J4:J15)</f>
        <v>0</v>
      </c>
      <c r="K16" s="28">
        <f>SUM(K4:K15)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>
    <tabColor rgb="FF00800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v>0</v>
      </c>
      <c r="B1" s="2"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19</v>
      </c>
      <c r="C4" s="10">
        <v>29</v>
      </c>
      <c r="D4" s="13" t="e">
        <f>DAY(EOMONTH(DATE(VALUE(MID(A1,2,LEN(A1)-1))+2018,B1,1),0))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>
    <tabColor rgb="FF008000"/>
  </sheetPr>
  <dimension ref="A1:K6"/>
  <sheetViews>
    <sheetView workbookViewId="0">
      <selection activeCell="K4" sqref="K4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19</v>
      </c>
      <c r="C4" s="10">
        <v>30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19</v>
      </c>
      <c r="C4" s="10">
        <v>40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19</v>
      </c>
      <c r="C4" s="10">
        <v>223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13</v>
      </c>
      <c r="C4" s="10">
        <v>1603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800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13</v>
      </c>
      <c r="C4" s="10">
        <v>1603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39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25</v>
      </c>
      <c r="C4" s="10">
        <v>1381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3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25</v>
      </c>
      <c r="C4" s="10">
        <v>1105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6">
    <tabColor rgb="FF33CAFF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32</v>
      </c>
      <c r="C4" s="10">
        <v>1961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7">
    <tabColor rgb="FF33CAFF"/>
  </sheetPr>
  <dimension ref="A1:K6"/>
  <sheetViews>
    <sheetView workbookViewId="0">
      <selection activeCell="H26" sqref="H26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32</v>
      </c>
      <c r="C4" s="10">
        <v>2259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8">
    <tabColor rgb="FF33CAFF"/>
  </sheetPr>
  <dimension ref="A1:K6"/>
  <sheetViews>
    <sheetView workbookViewId="0">
      <selection activeCell="B4" sqref="B4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32</v>
      </c>
      <c r="C4" s="10">
        <v>2262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>
    <tabColor rgb="FF33CAFF"/>
  </sheetPr>
  <dimension ref="A1:K6"/>
  <sheetViews>
    <sheetView workbookViewId="0">
      <selection activeCell="I25" sqref="I25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32</v>
      </c>
      <c r="C4" s="10">
        <v>2380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8000"/>
  </sheetPr>
  <dimension ref="A1:K6"/>
  <sheetViews>
    <sheetView workbookViewId="0">
      <selection activeCell="G4" sqref="G4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3" width="9" style="4" customWidth="1"/>
    <col min="14" max="16384" width="9" style="4"/>
  </cols>
  <sheetData>
    <row r="1" spans="1:11" x14ac:dyDescent="0.15">
      <c r="A1" s="1">
        <f>'CH富士吉田 寝台車 29'!A1</f>
        <v>0</v>
      </c>
      <c r="B1" s="2">
        <f>'CH富士吉田 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customHeight="1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/>
      <c r="C4" s="10"/>
      <c r="D4" s="13" t="e">
        <f>DAY(EOMONTH(DATE(VALUE(MID(A1,2,LEN(A1)-1))+2018,B1,1),0))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x14ac:dyDescent="0.15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4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月間集計</vt:lpstr>
      <vt:lpstr>CH富士吉田 寝台車 29</vt:lpstr>
      <vt:lpstr>CH富士吉田 寝台車 30</vt:lpstr>
      <vt:lpstr>CH富士吉田 霊柩車 40</vt:lpstr>
      <vt:lpstr>CH富士吉田 霊柩車 223</vt:lpstr>
      <vt:lpstr>CH大月 寝台車 1603</vt:lpstr>
      <vt:lpstr>CH大月 霊柩車 2577</vt:lpstr>
      <vt:lpstr>CH東富士 霊柩車 1381</vt:lpstr>
      <vt:lpstr>CH東富士 寝台車 1508</vt:lpstr>
      <vt:lpstr>東日本セレモニー 1961</vt:lpstr>
      <vt:lpstr>東日本セレモニー 2259</vt:lpstr>
      <vt:lpstr>東日本セレモニー 2262</vt:lpstr>
      <vt:lpstr>東日本セレモニー 2380</vt:lpstr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Sedil Bloodley</cp:lastModifiedBy>
  <dcterms:created xsi:type="dcterms:W3CDTF">2025-09-27T03:06:18Z</dcterms:created>
  <dcterms:modified xsi:type="dcterms:W3CDTF">2026-03-11T14:28:58Z</dcterms:modified>
</cp:coreProperties>
</file>