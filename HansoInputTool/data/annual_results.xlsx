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車両関係\搬送集計表\HansoData\"/>
    </mc:Choice>
  </mc:AlternateContent>
  <xr:revisionPtr revIDLastSave="0" documentId="13_ncr:1_{5C57FD67-1312-4352-B751-FED79ACD94E4}" xr6:coauthVersionLast="47" xr6:coauthVersionMax="47" xr10:uidLastSave="{00000000-0000-0000-0000-000000000000}"/>
  <bookViews>
    <workbookView xWindow="360" yWindow="180" windowWidth="28755" windowHeight="16920" tabRatio="812" activeTab="1" xr2:uid="{97B029A2-DD73-4EC3-927F-CBE6885103BE}"/>
  </bookViews>
  <sheets>
    <sheet name="Template" sheetId="86" r:id="rId1"/>
    <sheet name="年間実績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3" l="1"/>
  <c r="K6" i="13"/>
  <c r="K7" i="13"/>
  <c r="K8" i="13"/>
  <c r="K9" i="13"/>
  <c r="K10" i="13"/>
  <c r="K11" i="13"/>
  <c r="K12" i="13"/>
  <c r="K13" i="13"/>
  <c r="K14" i="13"/>
  <c r="K15" i="13"/>
  <c r="K4" i="13"/>
  <c r="I5" i="13"/>
  <c r="I6" i="13"/>
  <c r="I7" i="13"/>
  <c r="I8" i="13"/>
  <c r="I9" i="13"/>
  <c r="I10" i="13"/>
  <c r="I11" i="13"/>
  <c r="I12" i="13"/>
  <c r="I13" i="13"/>
  <c r="I14" i="13"/>
  <c r="I15" i="13"/>
  <c r="I4" i="13"/>
  <c r="H5" i="13"/>
  <c r="H6" i="13"/>
  <c r="H7" i="13"/>
  <c r="H8" i="13"/>
  <c r="H9" i="13"/>
  <c r="H10" i="13"/>
  <c r="H11" i="13"/>
  <c r="H12" i="13"/>
  <c r="H13" i="13"/>
  <c r="H14" i="13"/>
  <c r="H15" i="13"/>
  <c r="H4" i="13"/>
  <c r="J4" i="13" s="1"/>
  <c r="G5" i="13"/>
  <c r="G6" i="13"/>
  <c r="G7" i="13"/>
  <c r="G8" i="13"/>
  <c r="G9" i="13"/>
  <c r="G10" i="13"/>
  <c r="G11" i="13"/>
  <c r="G12" i="13"/>
  <c r="G13" i="13"/>
  <c r="G14" i="13"/>
  <c r="G15" i="13"/>
  <c r="G4" i="13"/>
  <c r="E5" i="13"/>
  <c r="E6" i="13"/>
  <c r="E7" i="13"/>
  <c r="E8" i="13"/>
  <c r="E9" i="13"/>
  <c r="E10" i="13"/>
  <c r="E11" i="13"/>
  <c r="E12" i="13"/>
  <c r="E13" i="13"/>
  <c r="E14" i="13"/>
  <c r="E15" i="13"/>
  <c r="E4" i="13"/>
  <c r="D5" i="86"/>
  <c r="D6" i="86"/>
  <c r="D7" i="86"/>
  <c r="D8" i="86"/>
  <c r="D9" i="86"/>
  <c r="D10" i="86"/>
  <c r="D11" i="86"/>
  <c r="D12" i="86"/>
  <c r="D13" i="86"/>
  <c r="D14" i="86"/>
  <c r="D15" i="86"/>
  <c r="D4" i="86"/>
  <c r="J5" i="13"/>
  <c r="J6" i="13"/>
  <c r="J7" i="13"/>
  <c r="J8" i="13"/>
  <c r="J9" i="13"/>
  <c r="J10" i="13"/>
  <c r="J11" i="13"/>
  <c r="J12" i="13"/>
  <c r="J13" i="13"/>
  <c r="J14" i="13"/>
  <c r="J15" i="13"/>
  <c r="K16" i="86"/>
  <c r="I16" i="86"/>
  <c r="H16" i="86"/>
  <c r="G16" i="86"/>
  <c r="E16" i="86"/>
  <c r="D16" i="86"/>
  <c r="J15" i="86"/>
  <c r="F15" i="86"/>
  <c r="J14" i="86"/>
  <c r="F14" i="86"/>
  <c r="J13" i="86"/>
  <c r="F13" i="86"/>
  <c r="J12" i="86"/>
  <c r="F12" i="86"/>
  <c r="J11" i="86"/>
  <c r="F11" i="86"/>
  <c r="J10" i="86"/>
  <c r="F10" i="86"/>
  <c r="J9" i="86"/>
  <c r="F9" i="86"/>
  <c r="J8" i="86"/>
  <c r="F8" i="86"/>
  <c r="J7" i="86"/>
  <c r="F7" i="86"/>
  <c r="J6" i="86"/>
  <c r="F6" i="86"/>
  <c r="J5" i="86"/>
  <c r="F5" i="86"/>
  <c r="J4" i="86"/>
  <c r="J16" i="86" s="1"/>
  <c r="F4" i="86"/>
  <c r="K17" i="13" l="1"/>
  <c r="K16" i="13"/>
  <c r="I17" i="13"/>
  <c r="I16" i="13"/>
  <c r="H17" i="13"/>
  <c r="J17" i="13" s="1"/>
  <c r="H16" i="13"/>
  <c r="J16" i="13" s="1"/>
  <c r="G17" i="13"/>
  <c r="G16" i="13"/>
  <c r="E17" i="13"/>
  <c r="E16" i="13"/>
  <c r="F16" i="86"/>
  <c r="D8" i="13" l="1"/>
  <c r="F8" i="13" s="1"/>
  <c r="D15" i="13"/>
  <c r="D11" i="13"/>
  <c r="D12" i="13"/>
  <c r="D14" i="13"/>
  <c r="D4" i="13"/>
  <c r="D10" i="13"/>
  <c r="D13" i="13"/>
  <c r="D9" i="13"/>
  <c r="D5" i="13"/>
  <c r="D17" i="13"/>
  <c r="D7" i="13"/>
  <c r="F7" i="13" s="1"/>
  <c r="D6" i="13"/>
  <c r="F6" i="13" s="1"/>
  <c r="D16" i="13" l="1"/>
  <c r="F16" i="13" l="1"/>
  <c r="E18" i="13"/>
  <c r="F14" i="13" l="1"/>
  <c r="F9" i="13"/>
  <c r="G18" i="13"/>
  <c r="F17" i="13"/>
  <c r="K18" i="13"/>
  <c r="F10" i="13"/>
  <c r="F4" i="13"/>
  <c r="F15" i="13"/>
  <c r="I18" i="13"/>
  <c r="F13" i="13"/>
  <c r="F12" i="13"/>
  <c r="D18" i="13"/>
  <c r="F11" i="13"/>
  <c r="F5" i="13"/>
  <c r="H18" i="13" l="1"/>
  <c r="J18" i="13" l="1"/>
  <c r="F18" i="13"/>
</calcChain>
</file>

<file path=xl/sharedStrings.xml><?xml version="1.0" encoding="utf-8"?>
<sst xmlns="http://schemas.openxmlformats.org/spreadsheetml/2006/main" count="82" uniqueCount="45">
  <si>
    <t>№2</t>
  </si>
  <si>
    <t>№3</t>
  </si>
  <si>
    <t>№4</t>
  </si>
  <si>
    <t>走行キロ(ｋｍ)</t>
    <rPh sb="0" eb="2">
      <t>ソウコウ</t>
    </rPh>
    <phoneticPr fontId="2"/>
  </si>
  <si>
    <t>台数</t>
    <rPh sb="0" eb="2">
      <t>ダイスウ</t>
    </rPh>
    <phoneticPr fontId="2"/>
  </si>
  <si>
    <t>支社名</t>
    <rPh sb="0" eb="2">
      <t>シシャ</t>
    </rPh>
    <rPh sb="2" eb="3">
      <t>ナ</t>
    </rPh>
    <phoneticPr fontId="2"/>
  </si>
  <si>
    <t>車輌番号</t>
    <rPh sb="0" eb="2">
      <t>シャリョウ</t>
    </rPh>
    <rPh sb="2" eb="4">
      <t>バンゴウ</t>
    </rPh>
    <phoneticPr fontId="2"/>
  </si>
  <si>
    <t>稼働率</t>
    <rPh sb="0" eb="2">
      <t>カドウ</t>
    </rPh>
    <rPh sb="2" eb="3">
      <t>リツ</t>
    </rPh>
    <phoneticPr fontId="2"/>
  </si>
  <si>
    <t>搬送回数</t>
    <rPh sb="0" eb="2">
      <t>ハンソウ</t>
    </rPh>
    <rPh sb="2" eb="4">
      <t>カイスウ</t>
    </rPh>
    <phoneticPr fontId="2"/>
  </si>
  <si>
    <t>総走行ｋｍ</t>
    <rPh sb="0" eb="1">
      <t>ソウ</t>
    </rPh>
    <rPh sb="1" eb="3">
      <t>ソウコウ</t>
    </rPh>
    <phoneticPr fontId="2"/>
  </si>
  <si>
    <t>運輸実績</t>
    <rPh sb="0" eb="2">
      <t>ウンユ</t>
    </rPh>
    <rPh sb="2" eb="4">
      <t>ジッセキ</t>
    </rPh>
    <phoneticPr fontId="2"/>
  </si>
  <si>
    <t>ＣＨ富士吉田</t>
    <rPh sb="2" eb="6">
      <t>フジヨシダ</t>
    </rPh>
    <phoneticPr fontId="2"/>
  </si>
  <si>
    <t>合　　　計</t>
    <rPh sb="0" eb="1">
      <t>ゴウ</t>
    </rPh>
    <rPh sb="4" eb="5">
      <t>ハカリ</t>
    </rPh>
    <phoneticPr fontId="2"/>
  </si>
  <si>
    <t>№1</t>
    <phoneticPr fontId="2"/>
  </si>
  <si>
    <t>№5</t>
  </si>
  <si>
    <t>CH大月</t>
    <rPh sb="2" eb="4">
      <t>オオツキ</t>
    </rPh>
    <phoneticPr fontId="2"/>
  </si>
  <si>
    <t>有料キロ数</t>
    <rPh sb="0" eb="2">
      <t>ユウリョウ</t>
    </rPh>
    <rPh sb="4" eb="5">
      <t>スウ</t>
    </rPh>
    <phoneticPr fontId="2"/>
  </si>
  <si>
    <t>無料キロ数</t>
    <rPh sb="0" eb="2">
      <t>ムリョウ</t>
    </rPh>
    <rPh sb="4" eb="5">
      <t>スウ</t>
    </rPh>
    <phoneticPr fontId="2"/>
  </si>
  <si>
    <t>№7</t>
  </si>
  <si>
    <t>№8</t>
  </si>
  <si>
    <t>№9</t>
  </si>
  <si>
    <t>月分</t>
    <rPh sb="0" eb="2">
      <t>ガツブン</t>
    </rPh>
    <phoneticPr fontId="2"/>
  </si>
  <si>
    <t>№6</t>
  </si>
  <si>
    <t>東日本</t>
    <rPh sb="0" eb="1">
      <t>ヒガシ</t>
    </rPh>
    <rPh sb="1" eb="3">
      <t>ニホン</t>
    </rPh>
    <phoneticPr fontId="2"/>
  </si>
  <si>
    <t>№10</t>
  </si>
  <si>
    <t>№11</t>
  </si>
  <si>
    <t>有料キロ数</t>
  </si>
  <si>
    <t>無料キロ数</t>
  </si>
  <si>
    <t>延実在
車輌数</t>
    <rPh sb="0" eb="1">
      <t>ノ</t>
    </rPh>
    <rPh sb="1" eb="3">
      <t>ジツザイ</t>
    </rPh>
    <rPh sb="4" eb="6">
      <t>シャリョウ</t>
    </rPh>
    <rPh sb="6" eb="7">
      <t>スウ</t>
    </rPh>
    <phoneticPr fontId="2"/>
  </si>
  <si>
    <t>延実働
車輌数</t>
    <rPh sb="0" eb="1">
      <t>ノ</t>
    </rPh>
    <rPh sb="1" eb="3">
      <t>ジツドウ</t>
    </rPh>
    <rPh sb="4" eb="6">
      <t>シャリョウ</t>
    </rPh>
    <rPh sb="6" eb="7">
      <t>スウ</t>
    </rPh>
    <phoneticPr fontId="2"/>
  </si>
  <si>
    <t>株式会社アルス　搬送・霊柩車　年間実績</t>
  </si>
  <si>
    <t>ＣＨ大月</t>
  </si>
  <si>
    <t>ＣＨ東富士</t>
  </si>
  <si>
    <t>ＣＨ富士吉田</t>
  </si>
  <si>
    <t>ＣＨ富士吉田</t>
    <phoneticPr fontId="2"/>
  </si>
  <si>
    <t>ＣＨ大月</t>
    <phoneticPr fontId="2"/>
  </si>
  <si>
    <t>ＣＨ東富士</t>
    <phoneticPr fontId="2"/>
  </si>
  <si>
    <t>東日本</t>
  </si>
  <si>
    <t>東日本</t>
    <phoneticPr fontId="2"/>
  </si>
  <si>
    <t>№12</t>
  </si>
  <si>
    <t>№13</t>
  </si>
  <si>
    <t>№14</t>
  </si>
  <si>
    <t>CH大月</t>
  </si>
  <si>
    <t>R#年#月～R#年#月</t>
    <rPh sb="2" eb="3">
      <t>ネン</t>
    </rPh>
    <rPh sb="4" eb="5">
      <t>ガツ</t>
    </rPh>
    <rPh sb="8" eb="9">
      <t>ネン</t>
    </rPh>
    <rPh sb="10" eb="11">
      <t>ガツ</t>
    </rPh>
    <phoneticPr fontId="2"/>
  </si>
  <si>
    <t>R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</si>
</sst>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6" formatCode="&quot;¥&quot;#,##0;[Red]&quot;¥&quot;\-#,##0"/>
    <numFmt numFmtId="176" formatCode="0.0%"/>
    <numFmt numFmtId="177" formatCode="&quot;平成&quot;##&quot;年度&quot;"/>
    <numFmt numFmtId="178" formatCode="[$¥-411]#,##0;[$¥-411]#,##0"/>
    <numFmt numFmtId="179" formatCode="#,##0_ ;[Red]\-#,##0\ 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9" fontId="3" fillId="0" borderId="1" xfId="1" applyFont="1" applyBorder="1">
      <alignment vertical="center"/>
    </xf>
    <xf numFmtId="178" fontId="0" fillId="0" borderId="0" xfId="2" applyNumberFormat="1" applyFont="1">
      <alignment vertical="center"/>
    </xf>
    <xf numFmtId="178" fontId="3" fillId="0" borderId="0" xfId="2" applyNumberFormat="1" applyFont="1">
      <alignment vertical="center"/>
    </xf>
    <xf numFmtId="6" fontId="3" fillId="0" borderId="0" xfId="3" applyFont="1">
      <alignment vertical="center"/>
    </xf>
    <xf numFmtId="38" fontId="3" fillId="0" borderId="1" xfId="0" applyNumberFormat="1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179" fontId="3" fillId="0" borderId="1" xfId="0" applyNumberFormat="1" applyFont="1" applyBorder="1">
      <alignment vertical="center"/>
    </xf>
    <xf numFmtId="9" fontId="3" fillId="0" borderId="1" xfId="0" applyNumberFormat="1" applyFont="1" applyBorder="1">
      <alignment vertical="center"/>
    </xf>
    <xf numFmtId="9" fontId="3" fillId="0" borderId="3" xfId="1" applyFont="1" applyBorder="1">
      <alignment vertical="center"/>
    </xf>
    <xf numFmtId="6" fontId="3" fillId="0" borderId="6" xfId="3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shrinkToFit="1"/>
    </xf>
    <xf numFmtId="6" fontId="3" fillId="0" borderId="11" xfId="3" applyFont="1" applyBorder="1" applyAlignment="1">
      <alignment horizontal="center" vertical="center"/>
    </xf>
    <xf numFmtId="0" fontId="3" fillId="0" borderId="15" xfId="0" applyFont="1" applyBorder="1">
      <alignment vertical="center"/>
    </xf>
    <xf numFmtId="176" fontId="3" fillId="0" borderId="15" xfId="1" applyNumberFormat="1" applyFont="1" applyBorder="1">
      <alignment vertical="center"/>
    </xf>
    <xf numFmtId="38" fontId="3" fillId="0" borderId="15" xfId="0" applyNumberFormat="1" applyFont="1" applyBorder="1">
      <alignment vertical="center"/>
    </xf>
    <xf numFmtId="38" fontId="3" fillId="0" borderId="15" xfId="2" applyFont="1" applyBorder="1">
      <alignment vertical="center"/>
    </xf>
    <xf numFmtId="6" fontId="3" fillId="0" borderId="16" xfId="3" applyFont="1" applyBorder="1">
      <alignment vertical="center"/>
    </xf>
    <xf numFmtId="0" fontId="4" fillId="0" borderId="12" xfId="0" applyFont="1" applyBorder="1" applyAlignment="1">
      <alignment horizontal="centerContinuous" vertical="center"/>
    </xf>
    <xf numFmtId="0" fontId="4" fillId="0" borderId="13" xfId="0" applyFont="1" applyBorder="1" applyAlignment="1">
      <alignment horizontal="centerContinuous" vertical="center"/>
    </xf>
    <xf numFmtId="0" fontId="4" fillId="0" borderId="14" xfId="0" applyFont="1" applyBorder="1" applyAlignment="1">
      <alignment horizontal="centerContinuous" vertical="center"/>
    </xf>
    <xf numFmtId="0" fontId="3" fillId="2" borderId="9" xfId="0" applyFont="1" applyFill="1" applyBorder="1">
      <alignment vertical="center"/>
    </xf>
    <xf numFmtId="0" fontId="3" fillId="2" borderId="18" xfId="0" applyFont="1" applyFill="1" applyBorder="1">
      <alignment vertical="center"/>
    </xf>
    <xf numFmtId="0" fontId="3" fillId="2" borderId="17" xfId="0" applyFont="1" applyFill="1" applyBorder="1">
      <alignment vertical="center"/>
    </xf>
    <xf numFmtId="0" fontId="3" fillId="2" borderId="9" xfId="0" applyFont="1" applyFill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/>
    </xf>
    <xf numFmtId="0" fontId="3" fillId="2" borderId="18" xfId="0" applyFont="1" applyFill="1" applyBorder="1" applyAlignment="1">
      <alignment horizontal="centerContinuous" vertical="center"/>
    </xf>
    <xf numFmtId="178" fontId="3" fillId="0" borderId="11" xfId="2" applyNumberFormat="1" applyFont="1" applyBorder="1" applyAlignment="1">
      <alignment horizontal="center" vertical="center"/>
    </xf>
    <xf numFmtId="178" fontId="3" fillId="0" borderId="16" xfId="2" applyNumberFormat="1" applyFont="1" applyBorder="1">
      <alignment vertical="center"/>
    </xf>
    <xf numFmtId="0" fontId="4" fillId="0" borderId="19" xfId="0" applyFont="1" applyBorder="1" applyAlignment="1">
      <alignment horizontal="centerContinuous" vertical="center"/>
    </xf>
    <xf numFmtId="0" fontId="4" fillId="0" borderId="15" xfId="0" applyFont="1" applyBorder="1" applyAlignment="1">
      <alignment horizontal="centerContinuous" vertical="center"/>
    </xf>
    <xf numFmtId="0" fontId="3" fillId="2" borderId="6" xfId="0" applyFont="1" applyFill="1" applyBorder="1" applyAlignment="1">
      <alignment horizontal="centerContinuous" vertical="center"/>
    </xf>
    <xf numFmtId="0" fontId="3" fillId="2" borderId="7" xfId="0" applyFont="1" applyFill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Continuous" vertical="center"/>
    </xf>
    <xf numFmtId="0" fontId="5" fillId="2" borderId="0" xfId="0" applyFont="1" applyFill="1" applyAlignment="1">
      <alignment horizontal="centerContinuous" vertical="center"/>
    </xf>
    <xf numFmtId="5" fontId="3" fillId="0" borderId="6" xfId="0" applyNumberFormat="1" applyFont="1" applyBorder="1">
      <alignment vertical="center"/>
    </xf>
    <xf numFmtId="177" fontId="3" fillId="2" borderId="0" xfId="0" applyNumberFormat="1" applyFont="1" applyFill="1" applyAlignment="1">
      <alignment horizontal="center" vertical="center"/>
    </xf>
  </cellXfs>
  <cellStyles count="4">
    <cellStyle name="パーセント" xfId="1" builtinId="5"/>
    <cellStyle name="桁区切り" xfId="2" builtinId="6"/>
    <cellStyle name="通貨" xfId="3" builtinId="7"/>
    <cellStyle name="標準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6" formatCode="#,##0;[Red]\-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9" formatCode="#,##0_ ;[Red]\-#,##0\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9" formatCode="#,##0_ ;[Red]\-#,##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9" formatCode="#,##0_ ;[Red]\-#,##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9" formatCode="#,##0_ ;[Red]\-#,##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9" formatCode="#,##0_ ;[Red]\-#,##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9" formatCode="#,##0_ ;[Red]\-#,##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numFmt numFmtId="179" formatCode="#,##0_ ;[Red]\-#,##0\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none"/>
      </font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13B0445-23FF-4D8D-85A8-8452BF0EC37B}" name="Template" displayName="Template" ref="A3:K16" totalsRowShown="0" headerRowDxfId="14" dataDxfId="12" headerRowBorderDxfId="13" tableBorderDxfId="11">
  <autoFilter ref="A3:K16" xr:uid="{2DE11445-FE6B-4B06-AD46-E2D48A522D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1045371-4A64-4738-B6C7-71D1C3801139}" name="台数" dataDxfId="10"/>
    <tableColumn id="2" xr3:uid="{DDD93C8E-649C-4084-BA69-FA9938DA093B}" name="支社名" dataDxfId="9"/>
    <tableColumn id="3" xr3:uid="{FB03F8E8-6A65-4ACA-9DAF-1CDB8E3578F5}" name="車輌番号" dataDxfId="8"/>
    <tableColumn id="4" xr3:uid="{336F1075-9691-4598-B2A0-90A82A27B112}" name="延実在_x000a_車輌数" dataDxfId="7"/>
    <tableColumn id="5" xr3:uid="{CA98EA54-D543-4FA6-B14C-302FD8DE08AB}" name="延実働_x000a_車輌数" dataDxfId="6"/>
    <tableColumn id="6" xr3:uid="{11E26E36-DA91-4F07-8CE8-E60CC0EA341B}" name="稼働率" dataDxfId="5" dataCellStyle="パーセント">
      <calculatedColumnFormula>IFERROR(E4/(D4*1),0)</calculatedColumnFormula>
    </tableColumn>
    <tableColumn id="7" xr3:uid="{3D39DBC7-7D50-4216-BF2A-43044100FC0D}" name="搬送回数" dataDxfId="4"/>
    <tableColumn id="8" xr3:uid="{4B51A9D5-D43B-4776-9320-8EECEDCDAD43}" name="有料キロ数" dataDxfId="3"/>
    <tableColumn id="9" xr3:uid="{C454787E-21E7-49B1-8D77-A501CE5D6ACE}" name="無料キロ数" dataDxfId="2"/>
    <tableColumn id="10" xr3:uid="{92C3D72C-A341-4DAB-B14E-5BB7EBD7F682}" name="総走行ｋｍ" dataDxfId="1"/>
    <tableColumn id="11" xr3:uid="{943582AF-E53F-4B7C-9A4F-5E4FE9EAA652}" name="運輸実績" dataDxfId="0" dataCellStyle="通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77335AF-195E-4568-9142-642497BA41F4}" name="テーブル14" displayName="テーブル14" ref="A3:K18" totalsRowShown="0" dataDxfId="27" headerRowBorderDxfId="28" tableBorderDxfId="26">
  <autoFilter ref="A3:K18" xr:uid="{D77335AF-195E-4568-9142-642497BA41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D1C82DD-2AB9-4216-AA05-5AD86F6E8426}" name="台数" dataDxfId="25"/>
    <tableColumn id="2" xr3:uid="{933D1EBE-940B-4352-A923-C8D1CD7FBECF}" name="支社名" dataDxfId="24"/>
    <tableColumn id="3" xr3:uid="{0387E121-36DD-4EE6-9E40-84C3920EF440}" name="車輌番号" dataDxfId="23"/>
    <tableColumn id="4" xr3:uid="{F8CB5089-3EEC-463C-A243-42C2316B742D}" name="延実在_x000a_車輌数" dataDxfId="22"/>
    <tableColumn id="5" xr3:uid="{F6DD285E-F09D-44CC-800E-3A46B444B844}" name="延実働_x000a_車輌数" dataDxfId="21"/>
    <tableColumn id="6" xr3:uid="{787F2FF5-E928-4DF3-B2A8-0D07B958141B}" name="稼働率" dataDxfId="20">
      <calculatedColumnFormula>IFERROR(E4/(D4*1),0)</calculatedColumnFormula>
    </tableColumn>
    <tableColumn id="7" xr3:uid="{D857694B-9C0D-4E87-98F0-3E4028F6A0E7}" name="搬送回数" dataDxfId="19"/>
    <tableColumn id="8" xr3:uid="{21E695CB-1F2B-4459-A6E3-CEC0E2440F9A}" name="有料キロ数" dataDxfId="18"/>
    <tableColumn id="9" xr3:uid="{8EF622C1-2F8B-4A87-BE2F-0C813792F0A8}" name="無料キロ数" dataDxfId="17"/>
    <tableColumn id="10" xr3:uid="{9A7A41C8-4C75-4267-BA35-89F34BAB3234}" name="総走行ｋｍ" dataDxfId="16"/>
    <tableColumn id="11" xr3:uid="{9455F49C-04CC-426E-89FD-440749958E13}" name="運輸実績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6C0D-F987-4867-9C81-ADEF6417C6C9}">
  <dimension ref="A1:K16"/>
  <sheetViews>
    <sheetView workbookViewId="0">
      <selection activeCell="D15" sqref="D15"/>
    </sheetView>
  </sheetViews>
  <sheetFormatPr defaultRowHeight="17.25" x14ac:dyDescent="0.15"/>
  <cols>
    <col min="1" max="1" width="5.375" style="1" customWidth="1"/>
    <col min="2" max="2" width="15.375" style="1" bestFit="1" customWidth="1"/>
    <col min="3" max="3" width="11.875" style="1" bestFit="1" customWidth="1"/>
    <col min="4" max="6" width="9.25" style="1" bestFit="1" customWidth="1"/>
    <col min="7" max="7" width="11.875" style="1" bestFit="1" customWidth="1"/>
    <col min="8" max="9" width="14.125" style="1" bestFit="1" customWidth="1"/>
    <col min="10" max="10" width="13.375" style="1" bestFit="1" customWidth="1"/>
    <col min="11" max="11" width="15.25" style="1" customWidth="1"/>
    <col min="12" max="16384" width="9" style="1"/>
  </cols>
  <sheetData>
    <row r="1" spans="1:11" ht="18" thickBot="1" x14ac:dyDescent="0.2">
      <c r="A1" s="31" t="s">
        <v>44</v>
      </c>
      <c r="B1" s="29"/>
      <c r="C1" s="30" t="s">
        <v>21</v>
      </c>
    </row>
    <row r="2" spans="1:11" ht="18" thickBot="1" x14ac:dyDescent="0.2">
      <c r="C2" s="2"/>
      <c r="G2" s="32" t="s">
        <v>3</v>
      </c>
      <c r="H2" s="33"/>
      <c r="I2" s="33"/>
      <c r="J2" s="34"/>
      <c r="K2" s="10"/>
    </row>
    <row r="3" spans="1:11" ht="34.5" x14ac:dyDescent="0.15">
      <c r="A3" s="17" t="s">
        <v>4</v>
      </c>
      <c r="B3" s="17" t="s">
        <v>5</v>
      </c>
      <c r="C3" s="17" t="s">
        <v>6</v>
      </c>
      <c r="D3" s="18" t="s">
        <v>28</v>
      </c>
      <c r="E3" s="18" t="s">
        <v>29</v>
      </c>
      <c r="F3" s="17" t="s">
        <v>7</v>
      </c>
      <c r="G3" s="17" t="s">
        <v>8</v>
      </c>
      <c r="H3" s="19" t="s">
        <v>26</v>
      </c>
      <c r="I3" s="19" t="s">
        <v>27</v>
      </c>
      <c r="J3" s="17" t="s">
        <v>9</v>
      </c>
      <c r="K3" s="20" t="s">
        <v>10</v>
      </c>
    </row>
    <row r="4" spans="1:11" x14ac:dyDescent="0.15">
      <c r="A4" s="4" t="s">
        <v>13</v>
      </c>
      <c r="B4" s="3" t="s">
        <v>11</v>
      </c>
      <c r="C4" s="3">
        <v>29</v>
      </c>
      <c r="D4" s="4" t="e">
        <f>DAY(EOMONTH(DATE(VALUE(MID($A$1,2,LEN($A$1)-1))+2018,$B$1,1),0))</f>
        <v>#VALUE!</v>
      </c>
      <c r="E4" s="4">
        <v>0</v>
      </c>
      <c r="F4" s="7">
        <f>IFERROR(E4/(D4*1),0)</f>
        <v>0</v>
      </c>
      <c r="G4" s="4">
        <v>0</v>
      </c>
      <c r="H4" s="11">
        <v>0</v>
      </c>
      <c r="I4" s="11">
        <v>0</v>
      </c>
      <c r="J4" s="11">
        <f>SUM(Template[[#This Row],[有料キロ数]:[無料キロ数]])</f>
        <v>0</v>
      </c>
      <c r="K4" s="16">
        <v>0</v>
      </c>
    </row>
    <row r="5" spans="1:11" x14ac:dyDescent="0.15">
      <c r="A5" s="4" t="s">
        <v>0</v>
      </c>
      <c r="B5" s="3" t="s">
        <v>11</v>
      </c>
      <c r="C5" s="3">
        <v>30</v>
      </c>
      <c r="D5" s="4" t="e">
        <f t="shared" ref="D5:D15" si="0">DAY(EOMONTH(DATE(VALUE(MID($A$1,2,LEN($A$1)-1))+2018,$B$1,1),0))</f>
        <v>#VALUE!</v>
      </c>
      <c r="E5" s="4">
        <v>0</v>
      </c>
      <c r="F5" s="7">
        <f t="shared" ref="F5:F12" si="1">IFERROR(E5/(D5*1),0)</f>
        <v>0</v>
      </c>
      <c r="G5" s="4">
        <v>0</v>
      </c>
      <c r="H5" s="4">
        <v>0</v>
      </c>
      <c r="I5" s="4">
        <v>0</v>
      </c>
      <c r="J5" s="11">
        <f>SUM(Template[[#This Row],[有料キロ数]:[無料キロ数]])</f>
        <v>0</v>
      </c>
      <c r="K5" s="16">
        <v>0</v>
      </c>
    </row>
    <row r="6" spans="1:11" x14ac:dyDescent="0.15">
      <c r="A6" s="4" t="s">
        <v>1</v>
      </c>
      <c r="B6" s="3" t="s">
        <v>33</v>
      </c>
      <c r="C6" s="3">
        <v>40</v>
      </c>
      <c r="D6" s="4" t="e">
        <f t="shared" si="0"/>
        <v>#VALUE!</v>
      </c>
      <c r="E6" s="4">
        <v>0</v>
      </c>
      <c r="F6" s="7">
        <f>IFERROR(E6/(D6*1),0)</f>
        <v>0</v>
      </c>
      <c r="G6" s="4">
        <v>0</v>
      </c>
      <c r="H6" s="4">
        <v>0</v>
      </c>
      <c r="I6" s="4">
        <v>0</v>
      </c>
      <c r="J6" s="11">
        <f>SUM(Template[[#This Row],[有料キロ数]:[無料キロ数]])</f>
        <v>0</v>
      </c>
      <c r="K6" s="16">
        <v>0</v>
      </c>
    </row>
    <row r="7" spans="1:11" x14ac:dyDescent="0.15">
      <c r="A7" s="4" t="s">
        <v>2</v>
      </c>
      <c r="B7" s="3" t="s">
        <v>33</v>
      </c>
      <c r="C7" s="3">
        <v>223</v>
      </c>
      <c r="D7" s="4" t="e">
        <f t="shared" si="0"/>
        <v>#VALUE!</v>
      </c>
      <c r="E7" s="4">
        <v>0</v>
      </c>
      <c r="F7" s="7">
        <f>IFERROR(E7/(D7*1),0)</f>
        <v>0</v>
      </c>
      <c r="G7" s="4">
        <v>0</v>
      </c>
      <c r="H7" s="4">
        <v>0</v>
      </c>
      <c r="I7" s="4">
        <v>0</v>
      </c>
      <c r="J7" s="11">
        <f>SUM(Template[[#This Row],[有料キロ数]:[無料キロ数]])</f>
        <v>0</v>
      </c>
      <c r="K7" s="16">
        <v>0</v>
      </c>
    </row>
    <row r="8" spans="1:11" x14ac:dyDescent="0.15">
      <c r="A8" s="4" t="s">
        <v>14</v>
      </c>
      <c r="B8" s="3" t="s">
        <v>42</v>
      </c>
      <c r="C8" s="3">
        <v>1603</v>
      </c>
      <c r="D8" s="4" t="e">
        <f t="shared" si="0"/>
        <v>#VALUE!</v>
      </c>
      <c r="E8" s="4">
        <v>0</v>
      </c>
      <c r="F8" s="7">
        <f>IFERROR(E8/(D8*1),0)</f>
        <v>0</v>
      </c>
      <c r="G8" s="4">
        <v>0</v>
      </c>
      <c r="H8" s="4">
        <v>0</v>
      </c>
      <c r="I8" s="4">
        <v>0</v>
      </c>
      <c r="J8" s="11">
        <f>SUM(Template[[#This Row],[有料キロ数]:[無料キロ数]])</f>
        <v>0</v>
      </c>
      <c r="K8" s="16">
        <v>0</v>
      </c>
    </row>
    <row r="9" spans="1:11" x14ac:dyDescent="0.15">
      <c r="A9" s="4" t="s">
        <v>22</v>
      </c>
      <c r="B9" s="3" t="s">
        <v>15</v>
      </c>
      <c r="C9" s="3">
        <v>2577</v>
      </c>
      <c r="D9" s="4" t="e">
        <f t="shared" si="0"/>
        <v>#VALUE!</v>
      </c>
      <c r="E9" s="4">
        <v>0</v>
      </c>
      <c r="F9" s="7">
        <f>IFERROR(E9/(D9*1),0)</f>
        <v>0</v>
      </c>
      <c r="G9" s="4">
        <v>0</v>
      </c>
      <c r="H9" s="4">
        <v>0</v>
      </c>
      <c r="I9" s="4">
        <v>0</v>
      </c>
      <c r="J9" s="11">
        <f>SUM(Template[[#This Row],[有料キロ数]:[無料キロ数]])</f>
        <v>0</v>
      </c>
      <c r="K9" s="16">
        <v>0</v>
      </c>
    </row>
    <row r="10" spans="1:11" x14ac:dyDescent="0.15">
      <c r="A10" s="4" t="s">
        <v>18</v>
      </c>
      <c r="B10" s="3" t="s">
        <v>32</v>
      </c>
      <c r="C10" s="3">
        <v>1381</v>
      </c>
      <c r="D10" s="4" t="e">
        <f t="shared" si="0"/>
        <v>#VALUE!</v>
      </c>
      <c r="E10" s="4">
        <v>0</v>
      </c>
      <c r="F10" s="7">
        <f>IFERROR(E10/(D10*1),0)</f>
        <v>0</v>
      </c>
      <c r="G10" s="4">
        <v>0</v>
      </c>
      <c r="H10" s="4">
        <v>0</v>
      </c>
      <c r="I10" s="4">
        <v>0</v>
      </c>
      <c r="J10" s="11">
        <f>SUM(Template[[#This Row],[有料キロ数]:[無料キロ数]])</f>
        <v>0</v>
      </c>
      <c r="K10" s="16">
        <v>0</v>
      </c>
    </row>
    <row r="11" spans="1:11" x14ac:dyDescent="0.15">
      <c r="A11" s="4" t="s">
        <v>19</v>
      </c>
      <c r="B11" s="3" t="s">
        <v>32</v>
      </c>
      <c r="C11" s="3">
        <v>1508</v>
      </c>
      <c r="D11" s="4" t="e">
        <f t="shared" si="0"/>
        <v>#VALUE!</v>
      </c>
      <c r="E11" s="4">
        <v>0</v>
      </c>
      <c r="F11" s="7">
        <f>IFERROR(E11/(D11*1),0)</f>
        <v>0</v>
      </c>
      <c r="G11" s="4">
        <v>0</v>
      </c>
      <c r="H11" s="4">
        <v>0</v>
      </c>
      <c r="I11" s="4">
        <v>0</v>
      </c>
      <c r="J11" s="11">
        <f>SUM(Template[[#This Row],[有料キロ数]:[無料キロ数]])</f>
        <v>0</v>
      </c>
      <c r="K11" s="16">
        <v>0</v>
      </c>
    </row>
    <row r="12" spans="1:11" x14ac:dyDescent="0.15">
      <c r="A12" s="4" t="s">
        <v>20</v>
      </c>
      <c r="B12" s="3" t="s">
        <v>23</v>
      </c>
      <c r="C12" s="3">
        <v>1961</v>
      </c>
      <c r="D12" s="4" t="e">
        <f t="shared" si="0"/>
        <v>#VALUE!</v>
      </c>
      <c r="E12" s="4">
        <v>0</v>
      </c>
      <c r="F12" s="7">
        <f t="shared" si="1"/>
        <v>0</v>
      </c>
      <c r="G12" s="4">
        <v>0</v>
      </c>
      <c r="H12" s="4">
        <v>0</v>
      </c>
      <c r="I12" s="4">
        <v>0</v>
      </c>
      <c r="J12" s="11">
        <f>SUM(Template[[#This Row],[有料キロ数]:[無料キロ数]])</f>
        <v>0</v>
      </c>
      <c r="K12" s="16">
        <v>0</v>
      </c>
    </row>
    <row r="13" spans="1:11" x14ac:dyDescent="0.15">
      <c r="A13" s="4" t="s">
        <v>24</v>
      </c>
      <c r="B13" s="3" t="s">
        <v>23</v>
      </c>
      <c r="C13" s="3">
        <v>2259</v>
      </c>
      <c r="D13" s="4" t="e">
        <f t="shared" si="0"/>
        <v>#VALUE!</v>
      </c>
      <c r="E13" s="4">
        <v>0</v>
      </c>
      <c r="F13" s="7">
        <f>IFERROR(E13/(D13*1),0)</f>
        <v>0</v>
      </c>
      <c r="G13" s="4">
        <v>0</v>
      </c>
      <c r="H13" s="4">
        <v>0</v>
      </c>
      <c r="I13" s="4">
        <v>0</v>
      </c>
      <c r="J13" s="11">
        <f>SUM(Template[[#This Row],[有料キロ数]:[無料キロ数]])</f>
        <v>0</v>
      </c>
      <c r="K13" s="16">
        <v>0</v>
      </c>
    </row>
    <row r="14" spans="1:11" x14ac:dyDescent="0.15">
      <c r="A14" s="4" t="s">
        <v>25</v>
      </c>
      <c r="B14" s="3" t="s">
        <v>37</v>
      </c>
      <c r="C14" s="3">
        <v>2262</v>
      </c>
      <c r="D14" s="4" t="e">
        <f t="shared" si="0"/>
        <v>#VALUE!</v>
      </c>
      <c r="E14" s="4">
        <v>0</v>
      </c>
      <c r="F14" s="7">
        <f>IFERROR(E14/(D14*1),0)</f>
        <v>0</v>
      </c>
      <c r="G14" s="4">
        <v>0</v>
      </c>
      <c r="H14" s="4">
        <v>0</v>
      </c>
      <c r="I14" s="4">
        <v>0</v>
      </c>
      <c r="J14" s="11">
        <f>SUM(Template[[#This Row],[有料キロ数]:[無料キロ数]])</f>
        <v>0</v>
      </c>
      <c r="K14" s="16">
        <v>0</v>
      </c>
    </row>
    <row r="15" spans="1:11" ht="18" thickBot="1" x14ac:dyDescent="0.2">
      <c r="A15" s="4" t="s">
        <v>39</v>
      </c>
      <c r="B15" s="12" t="s">
        <v>37</v>
      </c>
      <c r="C15" s="12">
        <v>2380</v>
      </c>
      <c r="D15" s="4" t="e">
        <f t="shared" si="0"/>
        <v>#VALUE!</v>
      </c>
      <c r="E15" s="4">
        <v>0</v>
      </c>
      <c r="F15" s="15">
        <f>IFERROR(E15/(D15*1),0)</f>
        <v>0</v>
      </c>
      <c r="G15" s="4">
        <v>0</v>
      </c>
      <c r="H15" s="4">
        <v>0</v>
      </c>
      <c r="I15" s="4">
        <v>0</v>
      </c>
      <c r="J15" s="11">
        <f>SUM(Template[[#This Row],[有料キロ数]:[無料キロ数]])</f>
        <v>0</v>
      </c>
      <c r="K15" s="16">
        <v>0</v>
      </c>
    </row>
    <row r="16" spans="1:11" ht="24" customHeight="1" x14ac:dyDescent="0.15">
      <c r="A16" s="26" t="s">
        <v>12</v>
      </c>
      <c r="B16" s="27"/>
      <c r="C16" s="28"/>
      <c r="D16" s="21" t="e">
        <f>SUM(D4:D15)</f>
        <v>#VALUE!</v>
      </c>
      <c r="E16" s="21">
        <f>SUM(E4:E15)</f>
        <v>0</v>
      </c>
      <c r="F16" s="22">
        <f>IFERROR(E16/(D16*1),0)</f>
        <v>0</v>
      </c>
      <c r="G16" s="21">
        <f>SUM(G4:G15)</f>
        <v>0</v>
      </c>
      <c r="H16" s="23">
        <f>SUM(H4:H15)</f>
        <v>0</v>
      </c>
      <c r="I16" s="23">
        <f>SUM(I4:I15)</f>
        <v>0</v>
      </c>
      <c r="J16" s="24">
        <f>SUM(J4:J15)</f>
        <v>0</v>
      </c>
      <c r="K16" s="25">
        <f>SUM(K4:K15)</f>
        <v>0</v>
      </c>
    </row>
  </sheetData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DFEAE-EC84-4103-89C9-1780C0384EC6}">
  <sheetPr codeName="Sheet13"/>
  <dimension ref="A1:K18"/>
  <sheetViews>
    <sheetView tabSelected="1" workbookViewId="0">
      <selection activeCell="D21" sqref="D21"/>
    </sheetView>
  </sheetViews>
  <sheetFormatPr defaultRowHeight="13.5" x14ac:dyDescent="0.15"/>
  <cols>
    <col min="1" max="1" width="11.125" bestFit="1" customWidth="1"/>
    <col min="2" max="2" width="15.375" bestFit="1" customWidth="1"/>
    <col min="3" max="3" width="12.75" customWidth="1"/>
    <col min="4" max="4" width="9.5" bestFit="1" customWidth="1"/>
    <col min="5" max="5" width="9.25" bestFit="1" customWidth="1"/>
    <col min="6" max="7" width="12.75" customWidth="1"/>
    <col min="8" max="9" width="14.75" customWidth="1"/>
    <col min="10" max="10" width="14.125" customWidth="1"/>
    <col min="11" max="11" width="18.25" style="8" customWidth="1"/>
  </cols>
  <sheetData>
    <row r="1" spans="1:11" ht="30" customHeight="1" x14ac:dyDescent="0.15">
      <c r="A1" s="44" t="s">
        <v>43</v>
      </c>
      <c r="B1" s="44"/>
      <c r="E1" s="42" t="s">
        <v>30</v>
      </c>
      <c r="F1" s="42"/>
      <c r="G1" s="42"/>
      <c r="H1" s="42"/>
    </row>
    <row r="2" spans="1:11" ht="17.25" x14ac:dyDescent="0.15">
      <c r="A2" s="1"/>
      <c r="B2" s="1"/>
      <c r="C2" s="2"/>
      <c r="D2" s="1"/>
      <c r="E2" s="1"/>
      <c r="F2" s="1"/>
      <c r="G2" s="39" t="s">
        <v>3</v>
      </c>
      <c r="H2" s="40"/>
      <c r="I2" s="40"/>
      <c r="J2" s="41"/>
      <c r="K2" s="9"/>
    </row>
    <row r="3" spans="1:11" ht="34.5" x14ac:dyDescent="0.15">
      <c r="A3" s="17" t="s">
        <v>4</v>
      </c>
      <c r="B3" s="17" t="s">
        <v>5</v>
      </c>
      <c r="C3" s="17" t="s">
        <v>6</v>
      </c>
      <c r="D3" s="18" t="s">
        <v>28</v>
      </c>
      <c r="E3" s="18" t="s">
        <v>29</v>
      </c>
      <c r="F3" s="17" t="s">
        <v>7</v>
      </c>
      <c r="G3" s="17" t="s">
        <v>8</v>
      </c>
      <c r="H3" s="19" t="s">
        <v>16</v>
      </c>
      <c r="I3" s="19" t="s">
        <v>17</v>
      </c>
      <c r="J3" s="17" t="s">
        <v>9</v>
      </c>
      <c r="K3" s="35" t="s">
        <v>10</v>
      </c>
    </row>
    <row r="4" spans="1:11" ht="17.25" x14ac:dyDescent="0.15">
      <c r="A4" s="4" t="s">
        <v>13</v>
      </c>
      <c r="B4" s="3" t="s">
        <v>11</v>
      </c>
      <c r="C4" s="3">
        <v>29</v>
      </c>
      <c r="D4" s="13" t="e">
        <f>SUM(Template!D4)</f>
        <v>#VALUE!</v>
      </c>
      <c r="E4" s="13">
        <f>SUM(Template!E4)</f>
        <v>0</v>
      </c>
      <c r="F4" s="14">
        <f>IFERROR(E4/(D4*1),0)</f>
        <v>0</v>
      </c>
      <c r="G4" s="13">
        <f>SUM(Template!G4)</f>
        <v>0</v>
      </c>
      <c r="H4" s="13">
        <f>SUM(Template!H4)</f>
        <v>0</v>
      </c>
      <c r="I4" s="13">
        <f>SUM(Template!I4)</f>
        <v>0</v>
      </c>
      <c r="J4" s="13">
        <f>SUM(H4,I4)</f>
        <v>0</v>
      </c>
      <c r="K4" s="43">
        <f>SUM(Template!K4)</f>
        <v>0</v>
      </c>
    </row>
    <row r="5" spans="1:11" ht="17.25" x14ac:dyDescent="0.15">
      <c r="A5" s="4" t="s">
        <v>0</v>
      </c>
      <c r="B5" s="3" t="s">
        <v>11</v>
      </c>
      <c r="C5" s="3">
        <v>30</v>
      </c>
      <c r="D5" s="13" t="e">
        <f>SUM(Template!D5)</f>
        <v>#VALUE!</v>
      </c>
      <c r="E5" s="13">
        <f>SUM(Template!E5)</f>
        <v>0</v>
      </c>
      <c r="F5" s="14">
        <f t="shared" ref="F5:F13" si="0">IFERROR(E5/(D5*1),0)</f>
        <v>0</v>
      </c>
      <c r="G5" s="13">
        <f>SUM(Template!G5)</f>
        <v>0</v>
      </c>
      <c r="H5" s="13">
        <f>SUM(Template!H5)</f>
        <v>0</v>
      </c>
      <c r="I5" s="13">
        <f>SUM(Template!I5)</f>
        <v>0</v>
      </c>
      <c r="J5" s="13">
        <f t="shared" ref="J5:J17" si="1">SUM(H5,I5)</f>
        <v>0</v>
      </c>
      <c r="K5" s="43">
        <f>SUM(Template!K5)</f>
        <v>0</v>
      </c>
    </row>
    <row r="6" spans="1:11" ht="17.25" x14ac:dyDescent="0.15">
      <c r="A6" s="4" t="s">
        <v>1</v>
      </c>
      <c r="B6" s="3" t="s">
        <v>34</v>
      </c>
      <c r="C6" s="3">
        <v>40</v>
      </c>
      <c r="D6" s="13" t="e">
        <f>SUM(Template!D6)</f>
        <v>#VALUE!</v>
      </c>
      <c r="E6" s="13">
        <f>SUM(Template!E6)</f>
        <v>0</v>
      </c>
      <c r="F6" s="14">
        <f t="shared" si="0"/>
        <v>0</v>
      </c>
      <c r="G6" s="13">
        <f>SUM(Template!G6)</f>
        <v>0</v>
      </c>
      <c r="H6" s="13">
        <f>SUM(Template!H6)</f>
        <v>0</v>
      </c>
      <c r="I6" s="13">
        <f>SUM(Template!I6)</f>
        <v>0</v>
      </c>
      <c r="J6" s="13">
        <f t="shared" si="1"/>
        <v>0</v>
      </c>
      <c r="K6" s="43">
        <f>SUM(Template!K6)</f>
        <v>0</v>
      </c>
    </row>
    <row r="7" spans="1:11" ht="17.25" x14ac:dyDescent="0.15">
      <c r="A7" s="4" t="s">
        <v>2</v>
      </c>
      <c r="B7" s="3" t="s">
        <v>33</v>
      </c>
      <c r="C7" s="3">
        <v>223</v>
      </c>
      <c r="D7" s="13" t="e">
        <f>SUM(Template!D7)</f>
        <v>#VALUE!</v>
      </c>
      <c r="E7" s="13">
        <f>SUM(Template!E7)</f>
        <v>0</v>
      </c>
      <c r="F7" s="14">
        <f>IFERROR(E7/(D7*1),0)</f>
        <v>0</v>
      </c>
      <c r="G7" s="13">
        <f>SUM(Template!G7)</f>
        <v>0</v>
      </c>
      <c r="H7" s="13">
        <f>SUM(Template!H7)</f>
        <v>0</v>
      </c>
      <c r="I7" s="13">
        <f>SUM(Template!I7)</f>
        <v>0</v>
      </c>
      <c r="J7" s="13">
        <f t="shared" si="1"/>
        <v>0</v>
      </c>
      <c r="K7" s="43">
        <f>SUM(Template!K7)</f>
        <v>0</v>
      </c>
    </row>
    <row r="8" spans="1:11" ht="17.25" x14ac:dyDescent="0.15">
      <c r="A8" s="4" t="s">
        <v>14</v>
      </c>
      <c r="B8" s="3" t="s">
        <v>31</v>
      </c>
      <c r="C8" s="3">
        <v>1603</v>
      </c>
      <c r="D8" s="13" t="e">
        <f>SUM(Template!D8)</f>
        <v>#VALUE!</v>
      </c>
      <c r="E8" s="13">
        <f>SUM(Template!E8)</f>
        <v>0</v>
      </c>
      <c r="F8" s="14">
        <f>IFERROR(E8/(D8*1),0)</f>
        <v>0</v>
      </c>
      <c r="G8" s="13">
        <f>SUM(Template!G8)</f>
        <v>0</v>
      </c>
      <c r="H8" s="13">
        <f>SUM(Template!H8)</f>
        <v>0</v>
      </c>
      <c r="I8" s="13">
        <f>SUM(Template!I8)</f>
        <v>0</v>
      </c>
      <c r="J8" s="13">
        <f t="shared" si="1"/>
        <v>0</v>
      </c>
      <c r="K8" s="43">
        <f>SUM(Template!K8)</f>
        <v>0</v>
      </c>
    </row>
    <row r="9" spans="1:11" ht="17.25" x14ac:dyDescent="0.15">
      <c r="A9" s="4" t="s">
        <v>22</v>
      </c>
      <c r="B9" s="3" t="s">
        <v>35</v>
      </c>
      <c r="C9" s="3">
        <v>2577</v>
      </c>
      <c r="D9" s="13" t="e">
        <f>SUM(Template!D9)</f>
        <v>#VALUE!</v>
      </c>
      <c r="E9" s="13">
        <f>SUM(Template!E9)</f>
        <v>0</v>
      </c>
      <c r="F9" s="14">
        <f t="shared" si="0"/>
        <v>0</v>
      </c>
      <c r="G9" s="13">
        <f>SUM(Template!G9)</f>
        <v>0</v>
      </c>
      <c r="H9" s="13">
        <f>SUM(Template!H9)</f>
        <v>0</v>
      </c>
      <c r="I9" s="13">
        <f>SUM(Template!I9)</f>
        <v>0</v>
      </c>
      <c r="J9" s="13">
        <f t="shared" si="1"/>
        <v>0</v>
      </c>
      <c r="K9" s="43">
        <f>SUM(Template!K9)</f>
        <v>0</v>
      </c>
    </row>
    <row r="10" spans="1:11" s="1" customFormat="1" ht="17.25" x14ac:dyDescent="0.15">
      <c r="A10" s="4" t="s">
        <v>18</v>
      </c>
      <c r="B10" s="3" t="s">
        <v>36</v>
      </c>
      <c r="C10" s="3">
        <v>1105</v>
      </c>
      <c r="D10" s="13" t="e">
        <f>SUM(Template!D10)</f>
        <v>#VALUE!</v>
      </c>
      <c r="E10" s="13">
        <f>SUM(Template!E10)</f>
        <v>0</v>
      </c>
      <c r="F10" s="7">
        <f>IFERROR(E10/(D10*1),0)</f>
        <v>0</v>
      </c>
      <c r="G10" s="13">
        <f>SUM(Template!G10)</f>
        <v>0</v>
      </c>
      <c r="H10" s="13">
        <f>SUM(Template!H10)</f>
        <v>0</v>
      </c>
      <c r="I10" s="13">
        <f>SUM(Template!I10)</f>
        <v>0</v>
      </c>
      <c r="J10" s="13">
        <f t="shared" si="1"/>
        <v>0</v>
      </c>
      <c r="K10" s="43">
        <f>SUM(Template!K10)</f>
        <v>0</v>
      </c>
    </row>
    <row r="11" spans="1:11" s="1" customFormat="1" ht="17.25" x14ac:dyDescent="0.15">
      <c r="A11" s="4" t="s">
        <v>19</v>
      </c>
      <c r="B11" s="3" t="s">
        <v>36</v>
      </c>
      <c r="C11" s="3">
        <v>1381</v>
      </c>
      <c r="D11" s="13" t="e">
        <f>SUM(Template!D11)</f>
        <v>#VALUE!</v>
      </c>
      <c r="E11" s="13">
        <f>SUM(Template!E11)</f>
        <v>0</v>
      </c>
      <c r="F11" s="7">
        <f>IFERROR(E11/(D11*1),0)</f>
        <v>0</v>
      </c>
      <c r="G11" s="13">
        <f>SUM(Template!G11)</f>
        <v>0</v>
      </c>
      <c r="H11" s="13">
        <f>SUM(Template!H11)</f>
        <v>0</v>
      </c>
      <c r="I11" s="13">
        <f>SUM(Template!I11)</f>
        <v>0</v>
      </c>
      <c r="J11" s="13">
        <f t="shared" si="1"/>
        <v>0</v>
      </c>
      <c r="K11" s="43">
        <f>SUM(Template!K11)</f>
        <v>0</v>
      </c>
    </row>
    <row r="12" spans="1:11" ht="17.25" x14ac:dyDescent="0.15">
      <c r="A12" s="4" t="s">
        <v>20</v>
      </c>
      <c r="B12" s="3" t="s">
        <v>32</v>
      </c>
      <c r="C12" s="3">
        <v>1508</v>
      </c>
      <c r="D12" s="13" t="e">
        <f>SUM(Template!D12)</f>
        <v>#VALUE!</v>
      </c>
      <c r="E12" s="13">
        <f>SUM(Template!E12)</f>
        <v>0</v>
      </c>
      <c r="F12" s="14">
        <f t="shared" si="0"/>
        <v>0</v>
      </c>
      <c r="G12" s="13">
        <f>SUM(Template!G12)</f>
        <v>0</v>
      </c>
      <c r="H12" s="13">
        <f>SUM(Template!H12)</f>
        <v>0</v>
      </c>
      <c r="I12" s="13">
        <f>SUM(Template!I12)</f>
        <v>0</v>
      </c>
      <c r="J12" s="13">
        <f t="shared" si="1"/>
        <v>0</v>
      </c>
      <c r="K12" s="43">
        <f>SUM(Template!K12)</f>
        <v>0</v>
      </c>
    </row>
    <row r="13" spans="1:11" ht="17.25" x14ac:dyDescent="0.15">
      <c r="A13" s="4" t="s">
        <v>24</v>
      </c>
      <c r="B13" s="3" t="s">
        <v>23</v>
      </c>
      <c r="C13" s="3">
        <v>2</v>
      </c>
      <c r="D13" s="13" t="e">
        <f>SUM(Template!D13)</f>
        <v>#VALUE!</v>
      </c>
      <c r="E13" s="13">
        <f>SUM(Template!E13)</f>
        <v>0</v>
      </c>
      <c r="F13" s="14">
        <f t="shared" si="0"/>
        <v>0</v>
      </c>
      <c r="G13" s="13">
        <f>SUM(Template!G13)</f>
        <v>0</v>
      </c>
      <c r="H13" s="13">
        <f>SUM(Template!H13)</f>
        <v>0</v>
      </c>
      <c r="I13" s="13">
        <f>SUM(Template!I13)</f>
        <v>0</v>
      </c>
      <c r="J13" s="13">
        <f t="shared" si="1"/>
        <v>0</v>
      </c>
      <c r="K13" s="43">
        <f>SUM(Template!K13)</f>
        <v>0</v>
      </c>
    </row>
    <row r="14" spans="1:11" s="1" customFormat="1" ht="17.25" x14ac:dyDescent="0.15">
      <c r="A14" s="4" t="s">
        <v>25</v>
      </c>
      <c r="B14" s="3" t="s">
        <v>23</v>
      </c>
      <c r="C14" s="3">
        <v>1961</v>
      </c>
      <c r="D14" s="13" t="e">
        <f>SUM(Template!D14)</f>
        <v>#VALUE!</v>
      </c>
      <c r="E14" s="13">
        <f>SUM(Template!E14)</f>
        <v>0</v>
      </c>
      <c r="F14" s="7">
        <f>IFERROR(E14/(D14*1),0)</f>
        <v>0</v>
      </c>
      <c r="G14" s="13">
        <f>SUM(Template!G14)</f>
        <v>0</v>
      </c>
      <c r="H14" s="13">
        <f>SUM(Template!H14)</f>
        <v>0</v>
      </c>
      <c r="I14" s="13">
        <f>SUM(Template!I14)</f>
        <v>0</v>
      </c>
      <c r="J14" s="13">
        <f t="shared" si="1"/>
        <v>0</v>
      </c>
      <c r="K14" s="43">
        <f>SUM(Template!K14)</f>
        <v>0</v>
      </c>
    </row>
    <row r="15" spans="1:11" ht="17.25" x14ac:dyDescent="0.15">
      <c r="A15" s="4" t="s">
        <v>39</v>
      </c>
      <c r="B15" s="5" t="s">
        <v>38</v>
      </c>
      <c r="C15" s="3">
        <v>2259</v>
      </c>
      <c r="D15" s="13" t="e">
        <f>SUM(Template!D15)</f>
        <v>#VALUE!</v>
      </c>
      <c r="E15" s="13">
        <f>SUM(Template!E15)</f>
        <v>0</v>
      </c>
      <c r="F15" s="14">
        <f>IFERROR(E15/(D15*1),0)</f>
        <v>0</v>
      </c>
      <c r="G15" s="13">
        <f>SUM(Template!G15)</f>
        <v>0</v>
      </c>
      <c r="H15" s="13">
        <f>SUM(Template!H15)</f>
        <v>0</v>
      </c>
      <c r="I15" s="13">
        <f>SUM(Template!I15)</f>
        <v>0</v>
      </c>
      <c r="J15" s="13">
        <f t="shared" si="1"/>
        <v>0</v>
      </c>
      <c r="K15" s="43">
        <f>SUM(Template!K15)</f>
        <v>0</v>
      </c>
    </row>
    <row r="16" spans="1:11" ht="17.25" x14ac:dyDescent="0.15">
      <c r="A16" s="4" t="s">
        <v>40</v>
      </c>
      <c r="B16" s="3" t="s">
        <v>37</v>
      </c>
      <c r="C16" s="3">
        <v>2262</v>
      </c>
      <c r="D16" s="13" t="e">
        <f>SUM(Template!D16)</f>
        <v>#VALUE!</v>
      </c>
      <c r="E16" s="13">
        <f>SUM(Template!E16)</f>
        <v>0</v>
      </c>
      <c r="F16" s="14">
        <f>IFERROR(E16/(D16*1),0)</f>
        <v>0</v>
      </c>
      <c r="G16" s="13">
        <f>SUM(Template!G16)</f>
        <v>0</v>
      </c>
      <c r="H16" s="13">
        <f>SUM(Template!H16)</f>
        <v>0</v>
      </c>
      <c r="I16" s="13">
        <f>SUM(Template!I16)</f>
        <v>0</v>
      </c>
      <c r="J16" s="13">
        <f t="shared" si="1"/>
        <v>0</v>
      </c>
      <c r="K16" s="43">
        <f>SUM(Template!K16)</f>
        <v>0</v>
      </c>
    </row>
    <row r="17" spans="1:11" ht="18" thickBot="1" x14ac:dyDescent="0.2">
      <c r="A17" s="4" t="s">
        <v>41</v>
      </c>
      <c r="B17" s="3" t="s">
        <v>37</v>
      </c>
      <c r="C17" s="6">
        <v>2380</v>
      </c>
      <c r="D17" s="13">
        <f>SUM(Template!D17)</f>
        <v>0</v>
      </c>
      <c r="E17" s="13">
        <f>SUM(Template!E17)</f>
        <v>0</v>
      </c>
      <c r="F17" s="14">
        <f>IFERROR(E17/(D17*1),0)</f>
        <v>0</v>
      </c>
      <c r="G17" s="13">
        <f>SUM(Template!G17)</f>
        <v>0</v>
      </c>
      <c r="H17" s="13">
        <f>SUM(Template!H17)</f>
        <v>0</v>
      </c>
      <c r="I17" s="13">
        <f>SUM(Template!I17)</f>
        <v>0</v>
      </c>
      <c r="J17" s="13">
        <f t="shared" si="1"/>
        <v>0</v>
      </c>
      <c r="K17" s="43">
        <f>SUM(Template!K17)</f>
        <v>0</v>
      </c>
    </row>
    <row r="18" spans="1:11" ht="27" customHeight="1" x14ac:dyDescent="0.15">
      <c r="A18" s="37" t="s">
        <v>12</v>
      </c>
      <c r="B18" s="38"/>
      <c r="C18" s="38"/>
      <c r="D18" s="24" t="e">
        <f>SUM(D4:D17)</f>
        <v>#VALUE!</v>
      </c>
      <c r="E18" s="24">
        <f>SUM(E4:E17)</f>
        <v>0</v>
      </c>
      <c r="F18" s="22">
        <f>IFERROR(E18/(D18*1),0)</f>
        <v>0</v>
      </c>
      <c r="G18" s="24">
        <f>SUM(G4:G17)</f>
        <v>0</v>
      </c>
      <c r="H18" s="23">
        <f>SUM(H4:H17)</f>
        <v>0</v>
      </c>
      <c r="I18" s="23">
        <f>SUM(I4:I17)</f>
        <v>0</v>
      </c>
      <c r="J18" s="23">
        <f>SUM(J4:J17)</f>
        <v>0</v>
      </c>
      <c r="K18" s="36">
        <f>SUM(K4:K17)</f>
        <v>0</v>
      </c>
    </row>
  </sheetData>
  <mergeCells count="1">
    <mergeCell ref="A1:B1"/>
  </mergeCells>
  <phoneticPr fontId="2"/>
  <printOptions horizontalCentered="1"/>
  <pageMargins left="0" right="0" top="0.98425196850393704" bottom="0.98425196850393704" header="0.51181102362204722" footer="0.51181102362204722"/>
  <pageSetup paperSize="9" orientation="landscape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Template</vt:lpstr>
      <vt:lpstr>年間実績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Sedil Bloodley</dc:creator>
  <cp:lastModifiedBy>userss123-kxs</cp:lastModifiedBy>
  <cp:lastPrinted>2024-06-10T07:49:35Z</cp:lastPrinted>
  <dcterms:created xsi:type="dcterms:W3CDTF">2006-05-04T01:28:12Z</dcterms:created>
  <dcterms:modified xsi:type="dcterms:W3CDTF">2026-09-15T05:55:53Z</dcterms:modified>
</cp:coreProperties>
</file>